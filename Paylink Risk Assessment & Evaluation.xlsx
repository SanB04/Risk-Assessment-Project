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nchaita Baidya\Documents\"/>
    </mc:Choice>
  </mc:AlternateContent>
  <xr:revisionPtr revIDLastSave="0" documentId="13_ncr:1_{4EF3680C-CE10-4A94-B2DA-0E6590A418C4}" xr6:coauthVersionLast="47" xr6:coauthVersionMax="47" xr10:uidLastSave="{00000000-0000-0000-0000-000000000000}"/>
  <bookViews>
    <workbookView xWindow="-108" yWindow="-108" windowWidth="23256" windowHeight="13176" xr2:uid="{86D3E2A1-E4CF-4D17-A47C-CBCBE06A50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4" i="1" l="1"/>
  <c r="M85" i="1"/>
  <c r="M86" i="1"/>
  <c r="M83" i="1"/>
  <c r="M82" i="1"/>
  <c r="M81" i="1"/>
  <c r="E142" i="1"/>
  <c r="E62" i="1"/>
  <c r="E71" i="1" s="1"/>
  <c r="E80" i="1" s="1"/>
  <c r="E95" i="1" s="1"/>
  <c r="E61" i="1"/>
  <c r="E70" i="1" s="1"/>
  <c r="E79" i="1" s="1"/>
  <c r="E94" i="1" s="1"/>
  <c r="E60" i="1"/>
  <c r="E69" i="1" s="1"/>
  <c r="E78" i="1" s="1"/>
  <c r="E93" i="1" s="1"/>
  <c r="E59" i="1"/>
  <c r="E68" i="1" s="1"/>
  <c r="E77" i="1" s="1"/>
  <c r="E92" i="1" s="1"/>
  <c r="E58" i="1"/>
  <c r="E67" i="1" s="1"/>
  <c r="E76" i="1" s="1"/>
  <c r="E91" i="1" s="1"/>
  <c r="E57" i="1"/>
  <c r="E66" i="1" s="1"/>
  <c r="E75" i="1" s="1"/>
  <c r="E90" i="1" s="1"/>
  <c r="E56" i="1"/>
  <c r="E65" i="1" s="1"/>
  <c r="E74" i="1" s="1"/>
  <c r="E89" i="1" s="1"/>
  <c r="E55" i="1"/>
  <c r="E64" i="1" s="1"/>
  <c r="E73" i="1" s="1"/>
  <c r="E88" i="1" s="1"/>
  <c r="E54" i="1"/>
  <c r="E63" i="1" s="1"/>
  <c r="E72" i="1" s="1"/>
  <c r="E87" i="1" s="1"/>
  <c r="E121" i="1" l="1"/>
  <c r="E130" i="1" s="1"/>
  <c r="E136" i="1" s="1"/>
  <c r="E129" i="1"/>
  <c r="E128" i="1"/>
  <c r="E134" i="1" s="1"/>
  <c r="E141" i="1" s="1"/>
  <c r="E127" i="1"/>
  <c r="E126" i="1"/>
  <c r="E125" i="1"/>
  <c r="E124" i="1"/>
  <c r="E133" i="1" s="1"/>
  <c r="E139" i="1" s="1"/>
  <c r="E123" i="1"/>
  <c r="E132" i="1" s="1"/>
  <c r="E138" i="1" s="1"/>
  <c r="E122" i="1"/>
  <c r="E131" i="1" s="1"/>
  <c r="E137" i="1" s="1"/>
  <c r="E114" i="1"/>
  <c r="E117" i="1"/>
  <c r="E116" i="1"/>
  <c r="E115" i="1"/>
  <c r="E109" i="1"/>
  <c r="E113" i="1"/>
  <c r="E111" i="1"/>
  <c r="E110" i="1"/>
  <c r="E108" i="1"/>
  <c r="E107" i="1"/>
  <c r="E105" i="1"/>
  <c r="E112" i="1"/>
  <c r="E106" i="1"/>
  <c r="E98" i="1"/>
  <c r="E97" i="1"/>
  <c r="E102" i="1"/>
  <c r="E101" i="1"/>
  <c r="E96" i="1"/>
  <c r="E104" i="1"/>
  <c r="E103" i="1"/>
  <c r="E100" i="1"/>
  <c r="E99" i="1"/>
</calcChain>
</file>

<file path=xl/sharedStrings.xml><?xml version="1.0" encoding="utf-8"?>
<sst xmlns="http://schemas.openxmlformats.org/spreadsheetml/2006/main" count="1397" uniqueCount="142">
  <si>
    <t>Risk ID</t>
  </si>
  <si>
    <t>Asset</t>
  </si>
  <si>
    <t>Category</t>
  </si>
  <si>
    <t>Risk Description</t>
  </si>
  <si>
    <t>Likelihood</t>
  </si>
  <si>
    <t>Impact</t>
  </si>
  <si>
    <t>Risk Level</t>
  </si>
  <si>
    <t>Consequence</t>
  </si>
  <si>
    <t>Existing Controls</t>
  </si>
  <si>
    <t>Risk Treatment</t>
  </si>
  <si>
    <t>Risk Owner</t>
  </si>
  <si>
    <t>Treatment Status</t>
  </si>
  <si>
    <t>R-001</t>
  </si>
  <si>
    <t>R-002</t>
  </si>
  <si>
    <t>R-003</t>
  </si>
  <si>
    <t>R-004</t>
  </si>
  <si>
    <t>R-005</t>
  </si>
  <si>
    <t>R-006</t>
  </si>
  <si>
    <t>R-007</t>
  </si>
  <si>
    <t>R-008</t>
  </si>
  <si>
    <t>R-009</t>
  </si>
  <si>
    <t>R-010</t>
  </si>
  <si>
    <t>R-011</t>
  </si>
  <si>
    <t>R-012</t>
  </si>
  <si>
    <t>R-013</t>
  </si>
  <si>
    <t>R-014</t>
  </si>
  <si>
    <t>R-015</t>
  </si>
  <si>
    <t>R-016</t>
  </si>
  <si>
    <t>R-017</t>
  </si>
  <si>
    <t>GDPR &amp; EU</t>
  </si>
  <si>
    <t>Natural Disaster (flood, earthquake, etc.)</t>
  </si>
  <si>
    <t>Power Outage</t>
  </si>
  <si>
    <t>Fire Hazard</t>
  </si>
  <si>
    <t>Security/ Netwrok Attacks</t>
  </si>
  <si>
    <t>Security/ Netwrok Failures</t>
  </si>
  <si>
    <t>System/Hardware Failures</t>
  </si>
  <si>
    <t>Staff Unavailability</t>
  </si>
  <si>
    <t>Maintenance Errors</t>
  </si>
  <si>
    <t>Human Errors</t>
  </si>
  <si>
    <t>Back-Ups</t>
  </si>
  <si>
    <t>Cyber Attacks/ Data Breaches</t>
  </si>
  <si>
    <t>Unauthorized Access</t>
  </si>
  <si>
    <t>Tool Glitch</t>
  </si>
  <si>
    <t>Non-Adversarial</t>
  </si>
  <si>
    <t>Adversarial</t>
  </si>
  <si>
    <t>AWS Sagemaker</t>
  </si>
  <si>
    <t>Asset ID</t>
  </si>
  <si>
    <t>Salesforce FC</t>
  </si>
  <si>
    <t>Temenos T24</t>
  </si>
  <si>
    <t>PCI DSS</t>
  </si>
  <si>
    <t>RBI</t>
  </si>
  <si>
    <t>Snowflake</t>
  </si>
  <si>
    <t>Microsoft Power BI</t>
  </si>
  <si>
    <t>GitLab CI/CD</t>
  </si>
  <si>
    <t>Terraform</t>
  </si>
  <si>
    <t>Kubernetes</t>
  </si>
  <si>
    <t>ServiceNow</t>
  </si>
  <si>
    <t>High</t>
  </si>
  <si>
    <t>Medium</t>
  </si>
  <si>
    <t>Low</t>
  </si>
  <si>
    <t>Lawsuit, penalties, fines and reputation damage</t>
  </si>
  <si>
    <t>Causing the server to be down hence service unavailable to customers</t>
  </si>
  <si>
    <t>System goes offline resulting in no detection of fraud</t>
  </si>
  <si>
    <t>System goes offline causing no access to data</t>
  </si>
  <si>
    <t>System goes offline hence delay with reports on latest data</t>
  </si>
  <si>
    <t>System goes offline causing delay in deployment</t>
  </si>
  <si>
    <t>Causing the server to be down hence delay in workflows</t>
  </si>
  <si>
    <t>Loss of physical data, damaged systems, delay in workflows</t>
  </si>
  <si>
    <t>Loss of digital data, ransomware, worms, infected systems</t>
  </si>
  <si>
    <t>Misconfigurations, failed connection</t>
  </si>
  <si>
    <t>Delay in work, loss of data, loss of temporary files</t>
  </si>
  <si>
    <t>Delay in work</t>
  </si>
  <si>
    <t>Can occur frequently</t>
  </si>
  <si>
    <t>Quite Normal</t>
  </si>
  <si>
    <t>Loss of important data, related to customers and finances</t>
  </si>
  <si>
    <t>Loss of important data, related to finances</t>
  </si>
  <si>
    <t>Loss of important data, related to finances and frauds</t>
  </si>
  <si>
    <t>Loss of digital data; ransomware, worms, infected systems</t>
  </si>
  <si>
    <t xml:space="preserve">Unnecessary data modification </t>
  </si>
  <si>
    <t>Interruption in workflow</t>
  </si>
  <si>
    <t>Delay in data updation</t>
  </si>
  <si>
    <t>Effects efficiency and maybe loss of most recent code</t>
  </si>
  <si>
    <t xml:space="preserve">Delay in work </t>
  </si>
  <si>
    <t>Delay in banking operations</t>
  </si>
  <si>
    <t>Unnecessary modification to client relationship</t>
  </si>
  <si>
    <t>Unnecessary access to confidential data</t>
  </si>
  <si>
    <t>Loss of digital data; ransomware, worms, infected systems, not able to detect fraud and AML not working</t>
  </si>
  <si>
    <t>Hinder workflow</t>
  </si>
  <si>
    <t>Result in inaccurate customer data</t>
  </si>
  <si>
    <t>Result in inaccurate data</t>
  </si>
  <si>
    <t>Misinterpretated report and dashboards, quite normal</t>
  </si>
  <si>
    <t>Loss of digital data; ransomware, worms, infected systems, financial loss</t>
  </si>
  <si>
    <t>Loss of digital data; ransomware, worms, infected systems, reputtaional damage</t>
  </si>
  <si>
    <t>R-018</t>
  </si>
  <si>
    <t>R-019</t>
  </si>
  <si>
    <t>Cloud Provider Outages</t>
  </si>
  <si>
    <t>API Failures</t>
  </si>
  <si>
    <t>Payment Fraud</t>
  </si>
  <si>
    <t>Financial loss, damage customer trust</t>
  </si>
  <si>
    <t>Unresponsive system, delay in work</t>
  </si>
  <si>
    <t>Regular audits, Encryption, Role-based Access Control, Incident Response Plan, Privacy Policy and Consent Management</t>
  </si>
  <si>
    <t>Regular audits, Log monitoring, Installing firewalls, Encryption, RBAC</t>
  </si>
  <si>
    <t>Loss of physical data, hardware, system and business continuity</t>
  </si>
  <si>
    <t>Off-site backups, Disaster Recovery Plan (DR), Business Continuity Plan(BCP)</t>
  </si>
  <si>
    <t>Backup generators at data centres, Cloud provider power redundancy, uninterruptable power supply, Business Continuity procedures</t>
  </si>
  <si>
    <t>Fire suppression systems, restricted access, off-site backups</t>
  </si>
  <si>
    <t>Cloud Security Posture Management, network firewalls, DDoS protection, intrusion detection, monitoring, Role Based Access Control (RBAC), SIEM-based alerting, vulnerability management, incident response</t>
  </si>
  <si>
    <t>Regular audits, Encryption, Role-based Access Control, Incident Response Plan, Privacy Policy and Consent Management, AI governance framework</t>
  </si>
  <si>
    <t>Network configuration,  automated failover, regualr system troubleshooting, monitoring and alerting, incident response</t>
  </si>
  <si>
    <t>Cloud Security Posture Management, network firewalls, DDoS protection, Database encryption, intrusion detection, transaction monitoring, Role Based Access Control (RBAC), SIEM-based alerting, vulnerability management, incident response</t>
  </si>
  <si>
    <t>Backup procedures, Disaster recovery plan, regularly updating systems, system/hardware maintenance, data encryption, monitoring, patch management</t>
  </si>
  <si>
    <t>Vendor-managed backups, Disaster recovery plan, regularly updating systems, system/hardware maintenance, data encryption, monitoring, patch management</t>
  </si>
  <si>
    <t>Return-to-work interviews, Attendance bonuses, Employee engagement, Wellness programs, Recognition and rewards</t>
  </si>
  <si>
    <t xml:space="preserve">Regional redundancy and failover mechanisms, monitoring and alerting, rollback and backups, regular updates and patch of softwares, configuration management, regular audits, Automated testing </t>
  </si>
  <si>
    <t>Open communications, Supportive work environment, Employee training and education, regular audits, monitoring</t>
  </si>
  <si>
    <t>Regional redundancy , log monitoring, automated testing, backup configuration verification</t>
  </si>
  <si>
    <t>Regional redundancy , vendor-managed backuos log monitoring, automated testing, backup configuration verification</t>
  </si>
  <si>
    <t>Multi-Factor Authentication (MFA), Monitoring, Data encryption, Strong password policies, Regular software updates, Data leak management, vulnerability scanning, Network Segmentation, Patching systems, Zero-Trust approach, Incident Response Plan</t>
  </si>
  <si>
    <t>Multi-Factor Authentication (MFA), Monitoring user activity, Data encryption, Strong password policies, Regular software updates, Segmentation, Patching systems, Incident Response Plan, Firewalls, VPNs, Endpoint security, Limited Access, Security Alerts, Access Management Policies</t>
  </si>
  <si>
    <t>Regular Software Updates, Network Configuration, Content Delivery Network, Technical and Configuration Management, Continuous Monitoring</t>
  </si>
  <si>
    <t>Regular Software Updates, Network Configuration, Content Delivery Network, Technical and Configuration Management, Continuous Monitoring, SaaS Security Posture Management</t>
  </si>
  <si>
    <t>Disaster Recovery Plan, Regional Redundancy, Multi-Regional Architecture/Deployment, Multi-Cloud Strategies, Automated failover and redundancy, Real-Time Monitoring, Regular Audits, Business Continuity Plan</t>
  </si>
  <si>
    <t>Hinder workflow, payment failures, Operational Delays</t>
  </si>
  <si>
    <t>Hinder workflow, delay in fraud detection, Operational Delays</t>
  </si>
  <si>
    <t>Hinder workflow delay in updating data, Operational Delays</t>
  </si>
  <si>
    <t>Hinder workflow, Operational Delays</t>
  </si>
  <si>
    <t>Hinder incident workflow, Operational Delays</t>
  </si>
  <si>
    <t>Synthetic Monitoring, Alerting and Automated Responses, Continuous Testing, Access Management Policies, Autonomous Failover and Recovery, API Gateway Logs Review, Authentication and Authorization Mechanisms</t>
  </si>
  <si>
    <t>Real-time Monitoring and Validation, Network Tokenization, Intelligent Payment Routing, Error Code Analysis</t>
  </si>
  <si>
    <t>Mitigate</t>
  </si>
  <si>
    <t>Mitigate (via DR, BCP, Backups); Transfer (via Cloud provider, insurance)</t>
  </si>
  <si>
    <t>Accepted</t>
  </si>
  <si>
    <t>Under Control</t>
  </si>
  <si>
    <t>Monitoring</t>
  </si>
  <si>
    <t>Compliance Officer</t>
  </si>
  <si>
    <t>CISO</t>
  </si>
  <si>
    <t>IT Operations Manager</t>
  </si>
  <si>
    <t>IT Operations Manager (With oversight from CISO)</t>
  </si>
  <si>
    <t>HR</t>
  </si>
  <si>
    <t>Cloud Operations Lead</t>
  </si>
  <si>
    <t>Fraud Risk Manager</t>
  </si>
  <si>
    <t>Administration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</si>
</sst>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3" fillId="5" borderId="0" applyNumberFormat="0" applyBorder="0" applyAlignment="0" applyProtection="0"/>
    <xf numFmtId="0" fontId="4" fillId="6" borderId="0" applyNumberFormat="0" applyBorder="0" applyAlignment="0" applyProtection="0"/>
    <xf numFmtId="0" fontId="5" fillId="7" borderId="0" applyNumberFormat="0" applyBorder="0" applyAlignment="0" applyProtection="0"/>
  </cellStyleXfs>
  <cellXfs count="20">
    <xf numFmtId="0" fontId="0" fillId="0" borderId="0" xfId="0"/>
    <xf numFmtId="0" fontId="1" fillId="2" borderId="0" xfId="0" applyFont="1" applyFill="1"/>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left"/>
    </xf>
    <xf numFmtId="0" fontId="1" fillId="2" borderId="0" xfId="0" applyFont="1" applyFill="1" applyAlignment="1">
      <alignment horizontal="left"/>
    </xf>
    <xf numFmtId="0" fontId="0" fillId="0" borderId="0" xfId="0" applyAlignment="1">
      <alignment horizontal="left"/>
    </xf>
    <xf numFmtId="0" fontId="0" fillId="0" borderId="0" xfId="0" applyAlignment="1">
      <alignment horizontal="left" vertical="center"/>
    </xf>
    <xf numFmtId="0" fontId="4" fillId="6" borderId="0" xfId="2"/>
    <xf numFmtId="0" fontId="5" fillId="7" borderId="0" xfId="3"/>
    <xf numFmtId="0" fontId="3" fillId="5" borderId="0" xfId="1"/>
    <xf numFmtId="0" fontId="1" fillId="2" borderId="0" xfId="0" applyFont="1" applyFill="1" applyAlignment="1">
      <alignment wrapText="1"/>
    </xf>
    <xf numFmtId="0" fontId="0" fillId="0" borderId="0" xfId="0" applyAlignment="1">
      <alignment wrapText="1"/>
    </xf>
    <xf numFmtId="0" fontId="1" fillId="2" borderId="0" xfId="0" applyFont="1" applyFill="1" applyAlignment="1">
      <alignment vertical="center"/>
    </xf>
    <xf numFmtId="0" fontId="0" fillId="0" borderId="0" xfId="0" applyAlignment="1">
      <alignment vertical="center"/>
    </xf>
    <xf numFmtId="0" fontId="0" fillId="3" borderId="2" xfId="0" applyFill="1" applyBorder="1" applyAlignment="1">
      <alignment horizontal="center" vertical="center"/>
    </xf>
    <xf numFmtId="0" fontId="0" fillId="3" borderId="0" xfId="0" applyFill="1" applyAlignment="1">
      <alignment horizontal="center" vertical="center"/>
    </xf>
    <xf numFmtId="0" fontId="0" fillId="3" borderId="1" xfId="0" applyFill="1" applyBorder="1" applyAlignment="1">
      <alignment horizontal="center" vertical="center"/>
    </xf>
    <xf numFmtId="0" fontId="0" fillId="4" borderId="0" xfId="0" applyFill="1" applyAlignment="1">
      <alignment horizontal="center" vertical="center"/>
    </xf>
    <xf numFmtId="0" fontId="0" fillId="4" borderId="1" xfId="0" applyFill="1" applyBorder="1" applyAlignment="1">
      <alignment horizontal="center" vertical="center"/>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BB4E-10AA-457C-9EA4-32447372BF0E}">
  <dimension ref="A1:M144"/>
  <sheetViews>
    <sheetView tabSelected="1" topLeftCell="A112" zoomScale="79" zoomScaleNormal="79" workbookViewId="0">
      <selection activeCell="J118" sqref="J117:J118"/>
    </sheetView>
  </sheetViews>
  <sheetFormatPr defaultRowHeight="14.4" x14ac:dyDescent="0.3"/>
  <cols>
    <col min="1" max="1" width="10.33203125" customWidth="1"/>
    <col min="2" max="2" width="35.88671875" bestFit="1" customWidth="1"/>
    <col min="3" max="3" width="14.21875" style="14" customWidth="1"/>
    <col min="4" max="4" width="7.6640625" customWidth="1"/>
    <col min="5" max="5" width="16.109375" style="6" customWidth="1"/>
    <col min="6" max="6" width="9.6640625" customWidth="1"/>
    <col min="7" max="7" width="8.88671875" customWidth="1"/>
    <col min="8" max="8" width="9.109375" customWidth="1"/>
    <col min="9" max="9" width="55.77734375" style="12" customWidth="1"/>
    <col min="10" max="10" width="92.5546875" style="12" customWidth="1"/>
    <col min="11" max="11" width="29.109375" style="12" customWidth="1"/>
    <col min="12" max="12" width="28.88671875" customWidth="1"/>
    <col min="13" max="13" width="24.21875" customWidth="1"/>
  </cols>
  <sheetData>
    <row r="1" spans="1:13" s="1" customFormat="1" x14ac:dyDescent="0.3">
      <c r="A1" s="1" t="s">
        <v>0</v>
      </c>
      <c r="B1" s="1" t="s">
        <v>3</v>
      </c>
      <c r="C1" s="13" t="s">
        <v>2</v>
      </c>
      <c r="D1" s="1" t="s">
        <v>46</v>
      </c>
      <c r="E1" s="5" t="s">
        <v>1</v>
      </c>
      <c r="F1" s="1" t="s">
        <v>4</v>
      </c>
      <c r="G1" s="1" t="s">
        <v>5</v>
      </c>
      <c r="H1" s="1" t="s">
        <v>6</v>
      </c>
      <c r="I1" s="11" t="s">
        <v>7</v>
      </c>
      <c r="J1" s="11" t="s">
        <v>8</v>
      </c>
      <c r="K1" s="11" t="s">
        <v>9</v>
      </c>
      <c r="L1" s="1" t="s">
        <v>11</v>
      </c>
      <c r="M1" s="1" t="s">
        <v>10</v>
      </c>
    </row>
    <row r="2" spans="1:13" ht="28.8" x14ac:dyDescent="0.3">
      <c r="A2" s="3" t="s">
        <v>12</v>
      </c>
      <c r="B2" s="4" t="s">
        <v>29</v>
      </c>
      <c r="C2" s="16" t="s">
        <v>43</v>
      </c>
      <c r="D2" s="2"/>
      <c r="E2" s="6" t="s">
        <v>48</v>
      </c>
      <c r="F2" t="s">
        <v>58</v>
      </c>
      <c r="G2" t="s">
        <v>57</v>
      </c>
      <c r="H2" s="8" t="s">
        <v>57</v>
      </c>
      <c r="I2" s="12" t="s">
        <v>60</v>
      </c>
      <c r="J2" s="12" t="s">
        <v>100</v>
      </c>
      <c r="K2" s="12" t="s">
        <v>129</v>
      </c>
      <c r="L2" s="12" t="s">
        <v>132</v>
      </c>
      <c r="M2" s="12" t="s">
        <v>134</v>
      </c>
    </row>
    <row r="3" spans="1:13" ht="28.8" x14ac:dyDescent="0.3">
      <c r="A3" s="3"/>
      <c r="B3" s="4" t="s">
        <v>29</v>
      </c>
      <c r="C3" s="16"/>
      <c r="D3" s="2"/>
      <c r="E3" s="6" t="s">
        <v>47</v>
      </c>
      <c r="F3" t="s">
        <v>58</v>
      </c>
      <c r="G3" t="s">
        <v>57</v>
      </c>
      <c r="H3" s="8" t="s">
        <v>57</v>
      </c>
      <c r="I3" s="12" t="s">
        <v>60</v>
      </c>
      <c r="J3" s="12" t="s">
        <v>100</v>
      </c>
      <c r="K3" s="12" t="s">
        <v>129</v>
      </c>
      <c r="L3" s="12" t="s">
        <v>132</v>
      </c>
      <c r="M3" s="12" t="s">
        <v>134</v>
      </c>
    </row>
    <row r="4" spans="1:13" ht="28.8" x14ac:dyDescent="0.3">
      <c r="A4" s="3"/>
      <c r="B4" s="4" t="s">
        <v>29</v>
      </c>
      <c r="C4" s="16"/>
      <c r="D4" s="2"/>
      <c r="E4" s="6" t="s">
        <v>45</v>
      </c>
      <c r="F4" t="s">
        <v>58</v>
      </c>
      <c r="G4" t="s">
        <v>57</v>
      </c>
      <c r="H4" s="8" t="s">
        <v>57</v>
      </c>
      <c r="I4" s="12" t="s">
        <v>60</v>
      </c>
      <c r="J4" s="12" t="s">
        <v>107</v>
      </c>
      <c r="K4" s="12" t="s">
        <v>129</v>
      </c>
      <c r="L4" s="12" t="s">
        <v>132</v>
      </c>
      <c r="M4" s="12" t="s">
        <v>134</v>
      </c>
    </row>
    <row r="5" spans="1:13" ht="28.8" x14ac:dyDescent="0.3">
      <c r="A5" s="3"/>
      <c r="B5" s="4" t="s">
        <v>29</v>
      </c>
      <c r="C5" s="16"/>
      <c r="D5" s="2"/>
      <c r="E5" s="6" t="s">
        <v>51</v>
      </c>
      <c r="F5" t="s">
        <v>58</v>
      </c>
      <c r="G5" t="s">
        <v>57</v>
      </c>
      <c r="H5" s="8" t="s">
        <v>57</v>
      </c>
      <c r="I5" s="12" t="s">
        <v>60</v>
      </c>
      <c r="J5" s="12" t="s">
        <v>100</v>
      </c>
      <c r="K5" s="12" t="s">
        <v>129</v>
      </c>
      <c r="L5" s="12" t="s">
        <v>132</v>
      </c>
      <c r="M5" s="12" t="s">
        <v>134</v>
      </c>
    </row>
    <row r="6" spans="1:13" ht="28.8" x14ac:dyDescent="0.3">
      <c r="A6" s="3"/>
      <c r="B6" s="4" t="s">
        <v>29</v>
      </c>
      <c r="C6" s="16"/>
      <c r="D6" s="2"/>
      <c r="E6" s="6" t="s">
        <v>52</v>
      </c>
      <c r="F6" t="s">
        <v>59</v>
      </c>
      <c r="G6" t="s">
        <v>57</v>
      </c>
      <c r="H6" s="9" t="s">
        <v>58</v>
      </c>
      <c r="I6" s="12" t="s">
        <v>60</v>
      </c>
      <c r="J6" s="12" t="s">
        <v>100</v>
      </c>
      <c r="K6" s="12" t="s">
        <v>129</v>
      </c>
      <c r="L6" s="12" t="s">
        <v>132</v>
      </c>
      <c r="M6" s="12" t="s">
        <v>134</v>
      </c>
    </row>
    <row r="7" spans="1:13" ht="28.8" x14ac:dyDescent="0.3">
      <c r="A7" s="3"/>
      <c r="B7" s="4" t="s">
        <v>29</v>
      </c>
      <c r="C7" s="16"/>
      <c r="D7" s="2"/>
      <c r="E7" s="6" t="s">
        <v>53</v>
      </c>
      <c r="F7" t="s">
        <v>59</v>
      </c>
      <c r="G7" t="s">
        <v>57</v>
      </c>
      <c r="H7" s="9" t="s">
        <v>58</v>
      </c>
      <c r="I7" s="12" t="s">
        <v>60</v>
      </c>
      <c r="J7" s="12" t="s">
        <v>100</v>
      </c>
      <c r="K7" s="12" t="s">
        <v>129</v>
      </c>
      <c r="L7" s="12" t="s">
        <v>132</v>
      </c>
      <c r="M7" s="12" t="s">
        <v>134</v>
      </c>
    </row>
    <row r="8" spans="1:13" ht="28.8" x14ac:dyDescent="0.3">
      <c r="A8" s="3"/>
      <c r="B8" s="4" t="s">
        <v>29</v>
      </c>
      <c r="C8" s="16"/>
      <c r="D8" s="2"/>
      <c r="E8" s="6" t="s">
        <v>54</v>
      </c>
      <c r="F8" t="s">
        <v>59</v>
      </c>
      <c r="G8" t="s">
        <v>57</v>
      </c>
      <c r="H8" s="9" t="s">
        <v>58</v>
      </c>
      <c r="I8" s="12" t="s">
        <v>60</v>
      </c>
      <c r="J8" s="12" t="s">
        <v>100</v>
      </c>
      <c r="K8" s="12" t="s">
        <v>129</v>
      </c>
      <c r="L8" s="12" t="s">
        <v>132</v>
      </c>
      <c r="M8" s="12" t="s">
        <v>134</v>
      </c>
    </row>
    <row r="9" spans="1:13" ht="28.8" x14ac:dyDescent="0.3">
      <c r="A9" s="3"/>
      <c r="B9" s="4" t="s">
        <v>29</v>
      </c>
      <c r="C9" s="16"/>
      <c r="D9" s="2"/>
      <c r="E9" s="6" t="s">
        <v>55</v>
      </c>
      <c r="F9" t="s">
        <v>59</v>
      </c>
      <c r="G9" t="s">
        <v>57</v>
      </c>
      <c r="H9" s="9" t="s">
        <v>58</v>
      </c>
      <c r="I9" s="12" t="s">
        <v>60</v>
      </c>
      <c r="J9" s="12" t="s">
        <v>100</v>
      </c>
      <c r="K9" s="12" t="s">
        <v>129</v>
      </c>
      <c r="L9" s="12" t="s">
        <v>132</v>
      </c>
      <c r="M9" s="12" t="s">
        <v>134</v>
      </c>
    </row>
    <row r="10" spans="1:13" ht="28.8" x14ac:dyDescent="0.3">
      <c r="A10" s="3"/>
      <c r="B10" s="4" t="s">
        <v>29</v>
      </c>
      <c r="C10" s="16"/>
      <c r="D10" s="2"/>
      <c r="E10" s="6" t="s">
        <v>56</v>
      </c>
      <c r="F10" t="s">
        <v>58</v>
      </c>
      <c r="G10" t="s">
        <v>57</v>
      </c>
      <c r="H10" s="8" t="s">
        <v>57</v>
      </c>
      <c r="I10" s="12" t="s">
        <v>60</v>
      </c>
      <c r="J10" s="12" t="s">
        <v>100</v>
      </c>
      <c r="K10" s="12" t="s">
        <v>129</v>
      </c>
      <c r="L10" s="12" t="s">
        <v>132</v>
      </c>
      <c r="M10" s="12" t="s">
        <v>134</v>
      </c>
    </row>
    <row r="11" spans="1:13" x14ac:dyDescent="0.3">
      <c r="A11" s="3" t="s">
        <v>13</v>
      </c>
      <c r="B11" s="4" t="s">
        <v>49</v>
      </c>
      <c r="C11" s="15" t="s">
        <v>43</v>
      </c>
      <c r="D11" s="2"/>
      <c r="E11" s="7" t="s">
        <v>48</v>
      </c>
      <c r="F11" t="s">
        <v>58</v>
      </c>
      <c r="G11" t="s">
        <v>57</v>
      </c>
      <c r="H11" s="8" t="s">
        <v>57</v>
      </c>
      <c r="I11" s="12" t="s">
        <v>60</v>
      </c>
      <c r="J11" s="12" t="s">
        <v>101</v>
      </c>
      <c r="K11" s="12" t="s">
        <v>129</v>
      </c>
      <c r="L11" s="12" t="s">
        <v>132</v>
      </c>
      <c r="M11" s="12" t="s">
        <v>134</v>
      </c>
    </row>
    <row r="12" spans="1:13" x14ac:dyDescent="0.3">
      <c r="A12" s="3"/>
      <c r="B12" s="4" t="s">
        <v>49</v>
      </c>
      <c r="C12" s="16"/>
      <c r="D12" s="2"/>
      <c r="E12" s="7" t="s">
        <v>47</v>
      </c>
      <c r="F12" t="s">
        <v>58</v>
      </c>
      <c r="G12" t="s">
        <v>57</v>
      </c>
      <c r="H12" s="8" t="s">
        <v>57</v>
      </c>
      <c r="I12" s="12" t="s">
        <v>60</v>
      </c>
      <c r="J12" s="12" t="s">
        <v>101</v>
      </c>
      <c r="K12" s="12" t="s">
        <v>129</v>
      </c>
      <c r="L12" s="12" t="s">
        <v>132</v>
      </c>
      <c r="M12" s="12" t="s">
        <v>134</v>
      </c>
    </row>
    <row r="13" spans="1:13" x14ac:dyDescent="0.3">
      <c r="A13" s="3"/>
      <c r="B13" s="4" t="s">
        <v>49</v>
      </c>
      <c r="C13" s="16"/>
      <c r="D13" s="2"/>
      <c r="E13" s="7" t="s">
        <v>45</v>
      </c>
      <c r="F13" t="s">
        <v>59</v>
      </c>
      <c r="G13" t="s">
        <v>57</v>
      </c>
      <c r="H13" s="9" t="s">
        <v>58</v>
      </c>
      <c r="I13" s="12" t="s">
        <v>60</v>
      </c>
      <c r="J13" s="12" t="s">
        <v>101</v>
      </c>
      <c r="K13" s="12" t="s">
        <v>129</v>
      </c>
      <c r="L13" s="12" t="s">
        <v>132</v>
      </c>
      <c r="M13" s="12" t="s">
        <v>134</v>
      </c>
    </row>
    <row r="14" spans="1:13" x14ac:dyDescent="0.3">
      <c r="A14" s="3"/>
      <c r="B14" s="4" t="s">
        <v>49</v>
      </c>
      <c r="C14" s="16"/>
      <c r="D14" s="2"/>
      <c r="E14" s="7" t="s">
        <v>51</v>
      </c>
      <c r="F14" t="s">
        <v>59</v>
      </c>
      <c r="G14" t="s">
        <v>57</v>
      </c>
      <c r="H14" s="9" t="s">
        <v>58</v>
      </c>
      <c r="I14" s="12" t="s">
        <v>60</v>
      </c>
      <c r="J14" s="12" t="s">
        <v>101</v>
      </c>
      <c r="K14" s="12" t="s">
        <v>129</v>
      </c>
      <c r="L14" s="12" t="s">
        <v>132</v>
      </c>
      <c r="M14" s="12" t="s">
        <v>134</v>
      </c>
    </row>
    <row r="15" spans="1:13" x14ac:dyDescent="0.3">
      <c r="A15" s="3"/>
      <c r="B15" s="4" t="s">
        <v>49</v>
      </c>
      <c r="C15" s="17"/>
      <c r="D15" s="2"/>
      <c r="E15" s="7" t="s">
        <v>56</v>
      </c>
      <c r="F15" t="s">
        <v>58</v>
      </c>
      <c r="G15" t="s">
        <v>57</v>
      </c>
      <c r="H15" s="8" t="s">
        <v>57</v>
      </c>
      <c r="I15" s="12" t="s">
        <v>60</v>
      </c>
      <c r="J15" s="12" t="s">
        <v>101</v>
      </c>
      <c r="K15" s="12" t="s">
        <v>129</v>
      </c>
      <c r="L15" s="12" t="s">
        <v>132</v>
      </c>
      <c r="M15" s="12" t="s">
        <v>134</v>
      </c>
    </row>
    <row r="16" spans="1:13" x14ac:dyDescent="0.3">
      <c r="A16" s="3" t="s">
        <v>14</v>
      </c>
      <c r="B16" s="4" t="s">
        <v>50</v>
      </c>
      <c r="C16" s="16" t="s">
        <v>43</v>
      </c>
      <c r="D16" s="2"/>
      <c r="E16" s="7" t="s">
        <v>48</v>
      </c>
      <c r="F16" t="s">
        <v>58</v>
      </c>
      <c r="G16" t="s">
        <v>57</v>
      </c>
      <c r="H16" s="8" t="s">
        <v>57</v>
      </c>
      <c r="I16" s="12" t="s">
        <v>60</v>
      </c>
      <c r="J16" s="12" t="s">
        <v>101</v>
      </c>
      <c r="K16" s="12" t="s">
        <v>129</v>
      </c>
      <c r="L16" s="12" t="s">
        <v>132</v>
      </c>
      <c r="M16" s="12" t="s">
        <v>134</v>
      </c>
    </row>
    <row r="17" spans="1:13" x14ac:dyDescent="0.3">
      <c r="A17" s="3"/>
      <c r="B17" s="4" t="s">
        <v>50</v>
      </c>
      <c r="C17" s="16"/>
      <c r="D17" s="2"/>
      <c r="E17" s="7" t="s">
        <v>47</v>
      </c>
      <c r="F17" t="s">
        <v>58</v>
      </c>
      <c r="G17" t="s">
        <v>57</v>
      </c>
      <c r="H17" s="8" t="s">
        <v>57</v>
      </c>
      <c r="I17" s="12" t="s">
        <v>60</v>
      </c>
      <c r="J17" s="12" t="s">
        <v>101</v>
      </c>
      <c r="K17" s="12" t="s">
        <v>129</v>
      </c>
      <c r="L17" s="12" t="s">
        <v>132</v>
      </c>
      <c r="M17" s="12" t="s">
        <v>134</v>
      </c>
    </row>
    <row r="18" spans="1:13" x14ac:dyDescent="0.3">
      <c r="A18" s="3"/>
      <c r="B18" s="4" t="s">
        <v>50</v>
      </c>
      <c r="C18" s="16"/>
      <c r="D18" s="2"/>
      <c r="E18" s="7" t="s">
        <v>45</v>
      </c>
      <c r="F18" t="s">
        <v>59</v>
      </c>
      <c r="G18" t="s">
        <v>57</v>
      </c>
      <c r="H18" s="9" t="s">
        <v>58</v>
      </c>
      <c r="I18" s="12" t="s">
        <v>60</v>
      </c>
      <c r="J18" s="12" t="s">
        <v>101</v>
      </c>
      <c r="K18" s="12" t="s">
        <v>129</v>
      </c>
      <c r="L18" s="12" t="s">
        <v>132</v>
      </c>
      <c r="M18" s="12" t="s">
        <v>134</v>
      </c>
    </row>
    <row r="19" spans="1:13" x14ac:dyDescent="0.3">
      <c r="A19" s="3"/>
      <c r="B19" s="4" t="s">
        <v>50</v>
      </c>
      <c r="C19" s="16"/>
      <c r="D19" s="2"/>
      <c r="E19" s="7" t="s">
        <v>51</v>
      </c>
      <c r="F19" t="s">
        <v>59</v>
      </c>
      <c r="G19" t="s">
        <v>57</v>
      </c>
      <c r="H19" s="9" t="s">
        <v>58</v>
      </c>
      <c r="I19" s="12" t="s">
        <v>60</v>
      </c>
      <c r="J19" s="12" t="s">
        <v>101</v>
      </c>
      <c r="K19" s="12" t="s">
        <v>129</v>
      </c>
      <c r="L19" s="12" t="s">
        <v>132</v>
      </c>
      <c r="M19" s="12" t="s">
        <v>134</v>
      </c>
    </row>
    <row r="20" spans="1:13" x14ac:dyDescent="0.3">
      <c r="A20" s="3"/>
      <c r="B20" s="4" t="s">
        <v>50</v>
      </c>
      <c r="C20" s="17"/>
      <c r="D20" s="2"/>
      <c r="E20" s="7" t="s">
        <v>56</v>
      </c>
      <c r="F20" t="s">
        <v>58</v>
      </c>
      <c r="G20" t="s">
        <v>57</v>
      </c>
      <c r="H20" s="8" t="s">
        <v>57</v>
      </c>
      <c r="I20" s="12" t="s">
        <v>60</v>
      </c>
      <c r="J20" s="12" t="s">
        <v>101</v>
      </c>
      <c r="K20" s="12" t="s">
        <v>129</v>
      </c>
      <c r="L20" s="12" t="s">
        <v>132</v>
      </c>
      <c r="M20" s="12" t="s">
        <v>134</v>
      </c>
    </row>
    <row r="21" spans="1:13" ht="16.8" customHeight="1" x14ac:dyDescent="0.3">
      <c r="A21" s="3" t="s">
        <v>15</v>
      </c>
      <c r="B21" s="4" t="s">
        <v>30</v>
      </c>
      <c r="C21" s="16" t="s">
        <v>43</v>
      </c>
      <c r="D21" s="2"/>
      <c r="E21" s="7" t="s">
        <v>48</v>
      </c>
      <c r="F21" t="s">
        <v>59</v>
      </c>
      <c r="G21" t="s">
        <v>57</v>
      </c>
      <c r="H21" s="9" t="s">
        <v>58</v>
      </c>
      <c r="I21" s="12" t="s">
        <v>102</v>
      </c>
      <c r="J21" s="12" t="s">
        <v>103</v>
      </c>
      <c r="K21" s="12" t="s">
        <v>130</v>
      </c>
      <c r="L21" s="12" t="s">
        <v>133</v>
      </c>
      <c r="M21" s="12" t="s">
        <v>141</v>
      </c>
    </row>
    <row r="22" spans="1:13" ht="16.8" customHeight="1" x14ac:dyDescent="0.3">
      <c r="A22" s="3"/>
      <c r="B22" s="4" t="s">
        <v>30</v>
      </c>
      <c r="C22" s="16"/>
      <c r="D22" s="2"/>
      <c r="E22" s="7" t="s">
        <v>47</v>
      </c>
      <c r="F22" t="s">
        <v>59</v>
      </c>
      <c r="G22" t="s">
        <v>57</v>
      </c>
      <c r="H22" s="9" t="s">
        <v>58</v>
      </c>
      <c r="I22" s="12" t="s">
        <v>102</v>
      </c>
      <c r="J22" s="12" t="s">
        <v>103</v>
      </c>
      <c r="K22" s="12" t="s">
        <v>130</v>
      </c>
      <c r="L22" s="12" t="s">
        <v>133</v>
      </c>
      <c r="M22" s="12" t="s">
        <v>141</v>
      </c>
    </row>
    <row r="23" spans="1:13" ht="16.8" customHeight="1" x14ac:dyDescent="0.3">
      <c r="A23" s="3"/>
      <c r="B23" s="4" t="s">
        <v>30</v>
      </c>
      <c r="C23" s="16"/>
      <c r="D23" s="2"/>
      <c r="E23" s="7" t="s">
        <v>45</v>
      </c>
      <c r="F23" t="s">
        <v>59</v>
      </c>
      <c r="G23" t="s">
        <v>57</v>
      </c>
      <c r="H23" s="9" t="s">
        <v>58</v>
      </c>
      <c r="I23" s="12" t="s">
        <v>102</v>
      </c>
      <c r="J23" s="12" t="s">
        <v>103</v>
      </c>
      <c r="K23" s="12" t="s">
        <v>130</v>
      </c>
      <c r="L23" s="12" t="s">
        <v>133</v>
      </c>
      <c r="M23" s="12" t="s">
        <v>141</v>
      </c>
    </row>
    <row r="24" spans="1:13" ht="16.8" customHeight="1" x14ac:dyDescent="0.3">
      <c r="A24" s="3"/>
      <c r="B24" s="4" t="s">
        <v>30</v>
      </c>
      <c r="C24" s="16"/>
      <c r="D24" s="2"/>
      <c r="E24" s="7" t="s">
        <v>51</v>
      </c>
      <c r="F24" t="s">
        <v>59</v>
      </c>
      <c r="G24" t="s">
        <v>57</v>
      </c>
      <c r="H24" s="9" t="s">
        <v>58</v>
      </c>
      <c r="I24" s="12" t="s">
        <v>102</v>
      </c>
      <c r="J24" s="12" t="s">
        <v>103</v>
      </c>
      <c r="K24" s="12" t="s">
        <v>130</v>
      </c>
      <c r="L24" s="12" t="s">
        <v>133</v>
      </c>
      <c r="M24" s="12" t="s">
        <v>141</v>
      </c>
    </row>
    <row r="25" spans="1:13" ht="16.8" customHeight="1" x14ac:dyDescent="0.3">
      <c r="A25" s="3"/>
      <c r="B25" s="4" t="s">
        <v>30</v>
      </c>
      <c r="C25" s="16"/>
      <c r="D25" s="2"/>
      <c r="E25" s="7" t="s">
        <v>55</v>
      </c>
      <c r="F25" t="s">
        <v>59</v>
      </c>
      <c r="G25" t="s">
        <v>57</v>
      </c>
      <c r="H25" s="9" t="s">
        <v>58</v>
      </c>
      <c r="I25" s="12" t="s">
        <v>102</v>
      </c>
      <c r="J25" s="12" t="s">
        <v>103</v>
      </c>
      <c r="K25" s="12" t="s">
        <v>130</v>
      </c>
      <c r="L25" s="12" t="s">
        <v>133</v>
      </c>
      <c r="M25" s="12" t="s">
        <v>141</v>
      </c>
    </row>
    <row r="26" spans="1:13" ht="16.8" customHeight="1" x14ac:dyDescent="0.3">
      <c r="A26" s="3"/>
      <c r="B26" s="4" t="s">
        <v>30</v>
      </c>
      <c r="C26" s="17"/>
      <c r="D26" s="2"/>
      <c r="E26" s="7" t="s">
        <v>56</v>
      </c>
      <c r="F26" t="s">
        <v>59</v>
      </c>
      <c r="G26" t="s">
        <v>57</v>
      </c>
      <c r="H26" s="9" t="s">
        <v>58</v>
      </c>
      <c r="I26" s="12" t="s">
        <v>102</v>
      </c>
      <c r="J26" s="12" t="s">
        <v>103</v>
      </c>
      <c r="K26" s="12" t="s">
        <v>130</v>
      </c>
      <c r="L26" s="12" t="s">
        <v>133</v>
      </c>
      <c r="M26" s="12" t="s">
        <v>141</v>
      </c>
    </row>
    <row r="27" spans="1:13" ht="28.8" x14ac:dyDescent="0.3">
      <c r="A27" s="3" t="s">
        <v>16</v>
      </c>
      <c r="B27" s="4" t="s">
        <v>31</v>
      </c>
      <c r="C27" s="16" t="s">
        <v>43</v>
      </c>
      <c r="D27" s="2"/>
      <c r="E27" s="6" t="s">
        <v>48</v>
      </c>
      <c r="F27" t="s">
        <v>58</v>
      </c>
      <c r="G27" t="s">
        <v>57</v>
      </c>
      <c r="H27" s="8" t="s">
        <v>57</v>
      </c>
      <c r="I27" s="12" t="s">
        <v>61</v>
      </c>
      <c r="J27" s="12" t="s">
        <v>104</v>
      </c>
      <c r="K27" s="12" t="s">
        <v>129</v>
      </c>
      <c r="L27" s="12" t="s">
        <v>132</v>
      </c>
      <c r="M27" s="12" t="s">
        <v>136</v>
      </c>
    </row>
    <row r="28" spans="1:13" ht="28.8" x14ac:dyDescent="0.3">
      <c r="A28" s="3"/>
      <c r="B28" s="4" t="s">
        <v>31</v>
      </c>
      <c r="C28" s="16"/>
      <c r="D28" s="2"/>
      <c r="E28" s="6" t="s">
        <v>47</v>
      </c>
      <c r="F28" t="s">
        <v>58</v>
      </c>
      <c r="G28" t="s">
        <v>58</v>
      </c>
      <c r="H28" s="9" t="s">
        <v>58</v>
      </c>
      <c r="I28" s="12" t="s">
        <v>61</v>
      </c>
      <c r="J28" s="12" t="s">
        <v>104</v>
      </c>
      <c r="K28" s="12" t="s">
        <v>129</v>
      </c>
      <c r="L28" s="12" t="s">
        <v>132</v>
      </c>
      <c r="M28" s="12" t="s">
        <v>136</v>
      </c>
    </row>
    <row r="29" spans="1:13" ht="28.8" x14ac:dyDescent="0.3">
      <c r="A29" s="3"/>
      <c r="B29" s="4" t="s">
        <v>31</v>
      </c>
      <c r="C29" s="16"/>
      <c r="D29" s="2"/>
      <c r="E29" s="6" t="s">
        <v>45</v>
      </c>
      <c r="F29" t="s">
        <v>58</v>
      </c>
      <c r="G29" t="s">
        <v>57</v>
      </c>
      <c r="H29" s="8" t="s">
        <v>57</v>
      </c>
      <c r="I29" s="12" t="s">
        <v>62</v>
      </c>
      <c r="J29" s="12" t="s">
        <v>104</v>
      </c>
      <c r="K29" s="12" t="s">
        <v>129</v>
      </c>
      <c r="L29" s="12" t="s">
        <v>132</v>
      </c>
      <c r="M29" s="12" t="s">
        <v>136</v>
      </c>
    </row>
    <row r="30" spans="1:13" ht="28.8" x14ac:dyDescent="0.3">
      <c r="A30" s="3"/>
      <c r="B30" s="4" t="s">
        <v>31</v>
      </c>
      <c r="C30" s="16"/>
      <c r="D30" s="2"/>
      <c r="E30" s="6" t="s">
        <v>51</v>
      </c>
      <c r="F30" t="s">
        <v>58</v>
      </c>
      <c r="G30" t="s">
        <v>59</v>
      </c>
      <c r="H30" s="10" t="s">
        <v>59</v>
      </c>
      <c r="I30" s="12" t="s">
        <v>63</v>
      </c>
      <c r="J30" s="12" t="s">
        <v>104</v>
      </c>
      <c r="K30" s="12" t="s">
        <v>129</v>
      </c>
      <c r="L30" s="12" t="s">
        <v>131</v>
      </c>
      <c r="M30" s="12" t="s">
        <v>136</v>
      </c>
    </row>
    <row r="31" spans="1:13" ht="28.8" x14ac:dyDescent="0.3">
      <c r="A31" s="3"/>
      <c r="B31" s="4" t="s">
        <v>31</v>
      </c>
      <c r="C31" s="16"/>
      <c r="D31" s="2"/>
      <c r="E31" s="6" t="s">
        <v>52</v>
      </c>
      <c r="F31" t="s">
        <v>58</v>
      </c>
      <c r="G31" t="s">
        <v>59</v>
      </c>
      <c r="H31" s="10" t="s">
        <v>59</v>
      </c>
      <c r="I31" s="12" t="s">
        <v>64</v>
      </c>
      <c r="J31" s="12" t="s">
        <v>104</v>
      </c>
      <c r="K31" s="12" t="s">
        <v>129</v>
      </c>
      <c r="L31" s="12" t="s">
        <v>131</v>
      </c>
      <c r="M31" s="12" t="s">
        <v>136</v>
      </c>
    </row>
    <row r="32" spans="1:13" ht="28.8" x14ac:dyDescent="0.3">
      <c r="A32" s="3"/>
      <c r="B32" s="4" t="s">
        <v>31</v>
      </c>
      <c r="C32" s="16"/>
      <c r="D32" s="2"/>
      <c r="E32" s="6" t="s">
        <v>53</v>
      </c>
      <c r="F32" t="s">
        <v>58</v>
      </c>
      <c r="G32" t="s">
        <v>59</v>
      </c>
      <c r="H32" s="10" t="s">
        <v>59</v>
      </c>
      <c r="I32" s="12" t="s">
        <v>65</v>
      </c>
      <c r="J32" s="12" t="s">
        <v>104</v>
      </c>
      <c r="K32" s="12" t="s">
        <v>129</v>
      </c>
      <c r="L32" s="12" t="s">
        <v>131</v>
      </c>
      <c r="M32" s="12" t="s">
        <v>136</v>
      </c>
    </row>
    <row r="33" spans="1:13" ht="28.8" x14ac:dyDescent="0.3">
      <c r="A33" s="3"/>
      <c r="B33" s="4" t="s">
        <v>31</v>
      </c>
      <c r="C33" s="16"/>
      <c r="D33" s="2"/>
      <c r="E33" s="6" t="s">
        <v>54</v>
      </c>
      <c r="F33" t="s">
        <v>58</v>
      </c>
      <c r="G33" t="s">
        <v>59</v>
      </c>
      <c r="H33" s="10" t="s">
        <v>59</v>
      </c>
      <c r="I33" s="12" t="s">
        <v>61</v>
      </c>
      <c r="J33" s="12" t="s">
        <v>104</v>
      </c>
      <c r="K33" s="12" t="s">
        <v>129</v>
      </c>
      <c r="L33" s="12" t="s">
        <v>131</v>
      </c>
      <c r="M33" s="12" t="s">
        <v>136</v>
      </c>
    </row>
    <row r="34" spans="1:13" ht="28.8" x14ac:dyDescent="0.3">
      <c r="A34" s="3"/>
      <c r="B34" s="4" t="s">
        <v>31</v>
      </c>
      <c r="C34" s="16"/>
      <c r="D34" s="2"/>
      <c r="E34" s="6" t="s">
        <v>55</v>
      </c>
      <c r="F34" t="s">
        <v>58</v>
      </c>
      <c r="G34" t="s">
        <v>59</v>
      </c>
      <c r="H34" s="10" t="s">
        <v>59</v>
      </c>
      <c r="I34" s="12" t="s">
        <v>65</v>
      </c>
      <c r="J34" s="12" t="s">
        <v>104</v>
      </c>
      <c r="K34" s="12" t="s">
        <v>129</v>
      </c>
      <c r="L34" s="12" t="s">
        <v>131</v>
      </c>
      <c r="M34" s="12" t="s">
        <v>136</v>
      </c>
    </row>
    <row r="35" spans="1:13" ht="28.8" x14ac:dyDescent="0.3">
      <c r="A35" s="3"/>
      <c r="B35" s="4" t="s">
        <v>31</v>
      </c>
      <c r="C35" s="17"/>
      <c r="D35" s="2"/>
      <c r="E35" s="6" t="s">
        <v>56</v>
      </c>
      <c r="F35" t="s">
        <v>58</v>
      </c>
      <c r="G35" t="s">
        <v>58</v>
      </c>
      <c r="H35" s="9" t="s">
        <v>58</v>
      </c>
      <c r="I35" s="12" t="s">
        <v>66</v>
      </c>
      <c r="J35" s="12" t="s">
        <v>104</v>
      </c>
      <c r="K35" s="12" t="s">
        <v>129</v>
      </c>
      <c r="L35" s="12" t="s">
        <v>132</v>
      </c>
      <c r="M35" s="12" t="s">
        <v>136</v>
      </c>
    </row>
    <row r="36" spans="1:13" ht="43.2" x14ac:dyDescent="0.3">
      <c r="A36" s="3" t="s">
        <v>17</v>
      </c>
      <c r="B36" s="4" t="s">
        <v>32</v>
      </c>
      <c r="C36" s="16" t="s">
        <v>43</v>
      </c>
      <c r="D36" s="2"/>
      <c r="E36" s="6" t="s">
        <v>48</v>
      </c>
      <c r="F36" t="s">
        <v>59</v>
      </c>
      <c r="G36" t="s">
        <v>57</v>
      </c>
      <c r="H36" s="9" t="s">
        <v>58</v>
      </c>
      <c r="I36" s="12" t="s">
        <v>67</v>
      </c>
      <c r="J36" s="12" t="s">
        <v>105</v>
      </c>
      <c r="K36" s="12" t="s">
        <v>130</v>
      </c>
      <c r="L36" s="12" t="s">
        <v>132</v>
      </c>
      <c r="M36" s="12" t="s">
        <v>141</v>
      </c>
    </row>
    <row r="37" spans="1:13" ht="43.2" x14ac:dyDescent="0.3">
      <c r="A37" s="3"/>
      <c r="B37" s="4" t="s">
        <v>32</v>
      </c>
      <c r="C37" s="16"/>
      <c r="D37" s="2"/>
      <c r="E37" s="6" t="s">
        <v>47</v>
      </c>
      <c r="F37" t="s">
        <v>59</v>
      </c>
      <c r="G37" t="s">
        <v>57</v>
      </c>
      <c r="H37" s="9" t="s">
        <v>58</v>
      </c>
      <c r="I37" s="12" t="s">
        <v>67</v>
      </c>
      <c r="J37" s="12" t="s">
        <v>105</v>
      </c>
      <c r="K37" s="12" t="s">
        <v>130</v>
      </c>
      <c r="L37" s="12" t="s">
        <v>132</v>
      </c>
      <c r="M37" s="12" t="s">
        <v>141</v>
      </c>
    </row>
    <row r="38" spans="1:13" ht="43.2" x14ac:dyDescent="0.3">
      <c r="A38" s="3"/>
      <c r="B38" s="4" t="s">
        <v>32</v>
      </c>
      <c r="C38" s="16"/>
      <c r="D38" s="2"/>
      <c r="E38" s="6" t="s">
        <v>45</v>
      </c>
      <c r="F38" t="s">
        <v>59</v>
      </c>
      <c r="G38" t="s">
        <v>57</v>
      </c>
      <c r="H38" s="9" t="s">
        <v>58</v>
      </c>
      <c r="I38" s="12" t="s">
        <v>67</v>
      </c>
      <c r="J38" s="12" t="s">
        <v>105</v>
      </c>
      <c r="K38" s="12" t="s">
        <v>130</v>
      </c>
      <c r="L38" s="12" t="s">
        <v>132</v>
      </c>
      <c r="M38" s="12" t="s">
        <v>141</v>
      </c>
    </row>
    <row r="39" spans="1:13" ht="43.2" x14ac:dyDescent="0.3">
      <c r="A39" s="3"/>
      <c r="B39" s="4" t="s">
        <v>32</v>
      </c>
      <c r="C39" s="16"/>
      <c r="D39" s="2"/>
      <c r="E39" s="6" t="s">
        <v>51</v>
      </c>
      <c r="F39" t="s">
        <v>59</v>
      </c>
      <c r="G39" t="s">
        <v>57</v>
      </c>
      <c r="H39" s="9" t="s">
        <v>58</v>
      </c>
      <c r="I39" s="12" t="s">
        <v>67</v>
      </c>
      <c r="J39" s="12" t="s">
        <v>105</v>
      </c>
      <c r="K39" s="12" t="s">
        <v>130</v>
      </c>
      <c r="L39" s="12" t="s">
        <v>132</v>
      </c>
      <c r="M39" s="12" t="s">
        <v>141</v>
      </c>
    </row>
    <row r="40" spans="1:13" ht="43.2" x14ac:dyDescent="0.3">
      <c r="A40" s="3"/>
      <c r="B40" s="4" t="s">
        <v>32</v>
      </c>
      <c r="C40" s="16"/>
      <c r="D40" s="2"/>
      <c r="E40" s="6" t="s">
        <v>52</v>
      </c>
      <c r="F40" t="s">
        <v>59</v>
      </c>
      <c r="G40" t="s">
        <v>58</v>
      </c>
      <c r="H40" s="9" t="s">
        <v>58</v>
      </c>
      <c r="I40" s="12" t="s">
        <v>67</v>
      </c>
      <c r="J40" s="12" t="s">
        <v>105</v>
      </c>
      <c r="K40" s="12" t="s">
        <v>130</v>
      </c>
      <c r="L40" s="12" t="s">
        <v>132</v>
      </c>
      <c r="M40" s="12" t="s">
        <v>141</v>
      </c>
    </row>
    <row r="41" spans="1:13" ht="43.2" x14ac:dyDescent="0.3">
      <c r="A41" s="3"/>
      <c r="B41" s="4" t="s">
        <v>32</v>
      </c>
      <c r="C41" s="16"/>
      <c r="D41" s="2"/>
      <c r="E41" s="6" t="s">
        <v>53</v>
      </c>
      <c r="F41" t="s">
        <v>59</v>
      </c>
      <c r="G41" t="s">
        <v>57</v>
      </c>
      <c r="H41" s="9" t="s">
        <v>58</v>
      </c>
      <c r="I41" s="12" t="s">
        <v>67</v>
      </c>
      <c r="J41" s="12" t="s">
        <v>105</v>
      </c>
      <c r="K41" s="12" t="s">
        <v>130</v>
      </c>
      <c r="L41" s="12" t="s">
        <v>132</v>
      </c>
      <c r="M41" s="12" t="s">
        <v>141</v>
      </c>
    </row>
    <row r="42" spans="1:13" ht="43.2" x14ac:dyDescent="0.3">
      <c r="A42" s="3"/>
      <c r="B42" s="4" t="s">
        <v>32</v>
      </c>
      <c r="C42" s="16"/>
      <c r="D42" s="2"/>
      <c r="E42" s="6" t="s">
        <v>54</v>
      </c>
      <c r="F42" t="s">
        <v>59</v>
      </c>
      <c r="G42" t="s">
        <v>57</v>
      </c>
      <c r="H42" s="9" t="s">
        <v>58</v>
      </c>
      <c r="I42" s="12" t="s">
        <v>67</v>
      </c>
      <c r="J42" s="12" t="s">
        <v>105</v>
      </c>
      <c r="K42" s="12" t="s">
        <v>130</v>
      </c>
      <c r="L42" s="12" t="s">
        <v>132</v>
      </c>
      <c r="M42" s="12" t="s">
        <v>141</v>
      </c>
    </row>
    <row r="43" spans="1:13" ht="43.2" x14ac:dyDescent="0.3">
      <c r="A43" s="3"/>
      <c r="B43" s="4" t="s">
        <v>32</v>
      </c>
      <c r="C43" s="16"/>
      <c r="D43" s="2"/>
      <c r="E43" s="6" t="s">
        <v>55</v>
      </c>
      <c r="F43" t="s">
        <v>59</v>
      </c>
      <c r="G43" t="s">
        <v>57</v>
      </c>
      <c r="H43" s="9" t="s">
        <v>58</v>
      </c>
      <c r="I43" s="12" t="s">
        <v>67</v>
      </c>
      <c r="J43" s="12" t="s">
        <v>105</v>
      </c>
      <c r="K43" s="12" t="s">
        <v>130</v>
      </c>
      <c r="L43" s="12" t="s">
        <v>132</v>
      </c>
      <c r="M43" s="12" t="s">
        <v>141</v>
      </c>
    </row>
    <row r="44" spans="1:13" ht="43.2" x14ac:dyDescent="0.3">
      <c r="A44" s="3"/>
      <c r="B44" s="4" t="s">
        <v>32</v>
      </c>
      <c r="C44" s="17"/>
      <c r="D44" s="2"/>
      <c r="E44" s="6" t="s">
        <v>56</v>
      </c>
      <c r="F44" t="s">
        <v>59</v>
      </c>
      <c r="G44" t="s">
        <v>57</v>
      </c>
      <c r="H44" s="9" t="s">
        <v>58</v>
      </c>
      <c r="I44" s="12" t="s">
        <v>67</v>
      </c>
      <c r="J44" s="12" t="s">
        <v>105</v>
      </c>
      <c r="K44" s="12" t="s">
        <v>130</v>
      </c>
      <c r="L44" s="12" t="s">
        <v>132</v>
      </c>
      <c r="M44" s="12" t="s">
        <v>141</v>
      </c>
    </row>
    <row r="45" spans="1:13" ht="43.2" x14ac:dyDescent="0.3">
      <c r="A45" s="3" t="s">
        <v>18</v>
      </c>
      <c r="B45" s="4" t="s">
        <v>33</v>
      </c>
      <c r="C45" s="18" t="s">
        <v>44</v>
      </c>
      <c r="D45" s="2"/>
      <c r="E45" s="6" t="s">
        <v>48</v>
      </c>
      <c r="F45" t="s">
        <v>57</v>
      </c>
      <c r="G45" t="s">
        <v>57</v>
      </c>
      <c r="H45" s="8" t="s">
        <v>57</v>
      </c>
      <c r="I45" s="12" t="s">
        <v>68</v>
      </c>
      <c r="J45" s="12" t="s">
        <v>109</v>
      </c>
      <c r="K45" s="12" t="s">
        <v>129</v>
      </c>
      <c r="L45" s="12" t="s">
        <v>133</v>
      </c>
      <c r="M45" s="12" t="s">
        <v>135</v>
      </c>
    </row>
    <row r="46" spans="1:13" ht="28.8" x14ac:dyDescent="0.3">
      <c r="A46" s="3"/>
      <c r="B46" s="4" t="s">
        <v>33</v>
      </c>
      <c r="C46" s="18"/>
      <c r="D46" s="2"/>
      <c r="E46" s="6" t="s">
        <v>47</v>
      </c>
      <c r="F46" t="s">
        <v>57</v>
      </c>
      <c r="G46" t="s">
        <v>57</v>
      </c>
      <c r="H46" s="8" t="s">
        <v>57</v>
      </c>
      <c r="I46" s="12" t="s">
        <v>68</v>
      </c>
      <c r="J46" s="12" t="s">
        <v>106</v>
      </c>
      <c r="K46" s="12" t="s">
        <v>129</v>
      </c>
      <c r="L46" s="12" t="s">
        <v>133</v>
      </c>
      <c r="M46" s="12" t="s">
        <v>135</v>
      </c>
    </row>
    <row r="47" spans="1:13" ht="28.8" x14ac:dyDescent="0.3">
      <c r="A47" s="3"/>
      <c r="B47" s="4" t="s">
        <v>33</v>
      </c>
      <c r="C47" s="18"/>
      <c r="D47" s="2"/>
      <c r="E47" s="6" t="s">
        <v>45</v>
      </c>
      <c r="F47" t="s">
        <v>57</v>
      </c>
      <c r="G47" t="s">
        <v>57</v>
      </c>
      <c r="H47" s="8" t="s">
        <v>57</v>
      </c>
      <c r="I47" s="12" t="s">
        <v>68</v>
      </c>
      <c r="J47" s="12" t="s">
        <v>106</v>
      </c>
      <c r="K47" s="12" t="s">
        <v>129</v>
      </c>
      <c r="L47" s="12" t="s">
        <v>133</v>
      </c>
      <c r="M47" s="12" t="s">
        <v>135</v>
      </c>
    </row>
    <row r="48" spans="1:13" ht="28.8" x14ac:dyDescent="0.3">
      <c r="A48" s="3"/>
      <c r="B48" s="4" t="s">
        <v>33</v>
      </c>
      <c r="C48" s="18"/>
      <c r="D48" s="2"/>
      <c r="E48" s="6" t="s">
        <v>51</v>
      </c>
      <c r="F48" t="s">
        <v>57</v>
      </c>
      <c r="G48" t="s">
        <v>57</v>
      </c>
      <c r="H48" s="8" t="s">
        <v>57</v>
      </c>
      <c r="I48" s="12" t="s">
        <v>68</v>
      </c>
      <c r="J48" s="12" t="s">
        <v>106</v>
      </c>
      <c r="K48" s="12" t="s">
        <v>129</v>
      </c>
      <c r="L48" s="12" t="s">
        <v>133</v>
      </c>
      <c r="M48" s="12" t="s">
        <v>135</v>
      </c>
    </row>
    <row r="49" spans="1:13" ht="28.8" x14ac:dyDescent="0.3">
      <c r="A49" s="3"/>
      <c r="B49" s="4" t="s">
        <v>33</v>
      </c>
      <c r="C49" s="18"/>
      <c r="D49" s="2"/>
      <c r="E49" s="6" t="s">
        <v>52</v>
      </c>
      <c r="F49" t="s">
        <v>57</v>
      </c>
      <c r="G49" t="s">
        <v>57</v>
      </c>
      <c r="H49" s="8" t="s">
        <v>57</v>
      </c>
      <c r="I49" s="12" t="s">
        <v>68</v>
      </c>
      <c r="J49" s="12" t="s">
        <v>106</v>
      </c>
      <c r="K49" s="12" t="s">
        <v>129</v>
      </c>
      <c r="L49" s="12" t="s">
        <v>133</v>
      </c>
      <c r="M49" s="12" t="s">
        <v>135</v>
      </c>
    </row>
    <row r="50" spans="1:13" ht="28.8" x14ac:dyDescent="0.3">
      <c r="A50" s="3"/>
      <c r="B50" s="4" t="s">
        <v>33</v>
      </c>
      <c r="C50" s="18"/>
      <c r="D50" s="2"/>
      <c r="E50" s="6" t="s">
        <v>53</v>
      </c>
      <c r="F50" t="s">
        <v>57</v>
      </c>
      <c r="G50" t="s">
        <v>57</v>
      </c>
      <c r="H50" s="8" t="s">
        <v>57</v>
      </c>
      <c r="I50" s="12" t="s">
        <v>68</v>
      </c>
      <c r="J50" s="12" t="s">
        <v>106</v>
      </c>
      <c r="K50" s="12" t="s">
        <v>129</v>
      </c>
      <c r="L50" s="12" t="s">
        <v>133</v>
      </c>
      <c r="M50" s="12" t="s">
        <v>135</v>
      </c>
    </row>
    <row r="51" spans="1:13" ht="28.8" x14ac:dyDescent="0.3">
      <c r="A51" s="3"/>
      <c r="B51" s="4" t="s">
        <v>33</v>
      </c>
      <c r="C51" s="18"/>
      <c r="D51" s="2"/>
      <c r="E51" s="6" t="s">
        <v>54</v>
      </c>
      <c r="F51" t="s">
        <v>57</v>
      </c>
      <c r="G51" t="s">
        <v>57</v>
      </c>
      <c r="H51" s="8" t="s">
        <v>57</v>
      </c>
      <c r="I51" s="12" t="s">
        <v>68</v>
      </c>
      <c r="J51" s="12" t="s">
        <v>106</v>
      </c>
      <c r="K51" s="12" t="s">
        <v>129</v>
      </c>
      <c r="L51" s="12" t="s">
        <v>133</v>
      </c>
      <c r="M51" s="12" t="s">
        <v>135</v>
      </c>
    </row>
    <row r="52" spans="1:13" ht="28.8" x14ac:dyDescent="0.3">
      <c r="A52" s="3"/>
      <c r="B52" s="4" t="s">
        <v>33</v>
      </c>
      <c r="C52" s="18"/>
      <c r="D52" s="2"/>
      <c r="E52" s="6" t="s">
        <v>55</v>
      </c>
      <c r="F52" t="s">
        <v>57</v>
      </c>
      <c r="G52" t="s">
        <v>57</v>
      </c>
      <c r="H52" s="8" t="s">
        <v>57</v>
      </c>
      <c r="I52" s="12" t="s">
        <v>68</v>
      </c>
      <c r="J52" s="12" t="s">
        <v>106</v>
      </c>
      <c r="K52" s="12" t="s">
        <v>129</v>
      </c>
      <c r="L52" s="12" t="s">
        <v>133</v>
      </c>
      <c r="M52" s="12" t="s">
        <v>135</v>
      </c>
    </row>
    <row r="53" spans="1:13" ht="28.8" x14ac:dyDescent="0.3">
      <c r="A53" s="3"/>
      <c r="B53" s="4" t="s">
        <v>33</v>
      </c>
      <c r="C53" s="19"/>
      <c r="D53" s="2"/>
      <c r="E53" s="6" t="s">
        <v>56</v>
      </c>
      <c r="F53" t="s">
        <v>57</v>
      </c>
      <c r="G53" t="s">
        <v>57</v>
      </c>
      <c r="H53" s="8" t="s">
        <v>57</v>
      </c>
      <c r="I53" s="12" t="s">
        <v>68</v>
      </c>
      <c r="J53" s="12" t="s">
        <v>106</v>
      </c>
      <c r="K53" s="12" t="s">
        <v>129</v>
      </c>
      <c r="L53" s="12" t="s">
        <v>133</v>
      </c>
      <c r="M53" s="12" t="s">
        <v>135</v>
      </c>
    </row>
    <row r="54" spans="1:13" ht="15" customHeight="1" x14ac:dyDescent="0.3">
      <c r="A54" s="3" t="s">
        <v>19</v>
      </c>
      <c r="B54" s="4" t="s">
        <v>34</v>
      </c>
      <c r="C54" s="16" t="s">
        <v>43</v>
      </c>
      <c r="D54" s="2"/>
      <c r="E54" s="6" t="str">
        <f t="shared" ref="E54:E63" si="0">E45</f>
        <v>Temenos T24</v>
      </c>
      <c r="F54" t="s">
        <v>58</v>
      </c>
      <c r="G54" t="s">
        <v>57</v>
      </c>
      <c r="H54" s="8" t="s">
        <v>57</v>
      </c>
      <c r="I54" s="12" t="s">
        <v>69</v>
      </c>
      <c r="J54" s="12" t="s">
        <v>108</v>
      </c>
      <c r="K54" s="12" t="s">
        <v>129</v>
      </c>
      <c r="L54" s="12" t="s">
        <v>132</v>
      </c>
      <c r="M54" s="12" t="s">
        <v>137</v>
      </c>
    </row>
    <row r="55" spans="1:13" ht="15" customHeight="1" x14ac:dyDescent="0.3">
      <c r="A55" s="3"/>
      <c r="B55" s="4" t="s">
        <v>34</v>
      </c>
      <c r="C55" s="16"/>
      <c r="D55" s="2"/>
      <c r="E55" s="6" t="str">
        <f t="shared" si="0"/>
        <v>Salesforce FC</v>
      </c>
      <c r="F55" t="s">
        <v>58</v>
      </c>
      <c r="G55" t="s">
        <v>57</v>
      </c>
      <c r="H55" s="8" t="s">
        <v>57</v>
      </c>
      <c r="I55" s="12" t="s">
        <v>69</v>
      </c>
      <c r="J55" s="12" t="s">
        <v>108</v>
      </c>
      <c r="K55" s="12" t="s">
        <v>129</v>
      </c>
      <c r="L55" s="12" t="s">
        <v>132</v>
      </c>
      <c r="M55" s="12" t="s">
        <v>137</v>
      </c>
    </row>
    <row r="56" spans="1:13" ht="15" customHeight="1" x14ac:dyDescent="0.3">
      <c r="A56" s="3"/>
      <c r="B56" s="4" t="s">
        <v>34</v>
      </c>
      <c r="C56" s="16"/>
      <c r="D56" s="2"/>
      <c r="E56" s="6" t="str">
        <f t="shared" si="0"/>
        <v>AWS Sagemaker</v>
      </c>
      <c r="F56" t="s">
        <v>58</v>
      </c>
      <c r="G56" t="s">
        <v>58</v>
      </c>
      <c r="H56" s="9" t="s">
        <v>58</v>
      </c>
      <c r="I56" s="12" t="s">
        <v>69</v>
      </c>
      <c r="J56" s="12" t="s">
        <v>108</v>
      </c>
      <c r="K56" s="12" t="s">
        <v>129</v>
      </c>
      <c r="L56" s="12" t="s">
        <v>132</v>
      </c>
      <c r="M56" s="12" t="s">
        <v>137</v>
      </c>
    </row>
    <row r="57" spans="1:13" ht="15" customHeight="1" x14ac:dyDescent="0.3">
      <c r="A57" s="3"/>
      <c r="B57" s="4" t="s">
        <v>34</v>
      </c>
      <c r="C57" s="16"/>
      <c r="D57" s="2"/>
      <c r="E57" s="6" t="str">
        <f t="shared" si="0"/>
        <v>Snowflake</v>
      </c>
      <c r="F57" t="s">
        <v>58</v>
      </c>
      <c r="G57" t="s">
        <v>58</v>
      </c>
      <c r="H57" s="9" t="s">
        <v>58</v>
      </c>
      <c r="I57" s="12" t="s">
        <v>69</v>
      </c>
      <c r="J57" s="12" t="s">
        <v>108</v>
      </c>
      <c r="K57" s="12" t="s">
        <v>129</v>
      </c>
      <c r="L57" s="12" t="s">
        <v>132</v>
      </c>
      <c r="M57" s="12" t="s">
        <v>137</v>
      </c>
    </row>
    <row r="58" spans="1:13" ht="15" customHeight="1" x14ac:dyDescent="0.3">
      <c r="A58" s="3"/>
      <c r="B58" s="4" t="s">
        <v>34</v>
      </c>
      <c r="C58" s="16"/>
      <c r="D58" s="2"/>
      <c r="E58" s="6" t="str">
        <f t="shared" si="0"/>
        <v>Microsoft Power BI</v>
      </c>
      <c r="F58" t="s">
        <v>58</v>
      </c>
      <c r="G58" t="s">
        <v>58</v>
      </c>
      <c r="H58" s="9" t="s">
        <v>58</v>
      </c>
      <c r="I58" s="12" t="s">
        <v>69</v>
      </c>
      <c r="J58" s="12" t="s">
        <v>108</v>
      </c>
      <c r="K58" s="12" t="s">
        <v>129</v>
      </c>
      <c r="L58" s="12" t="s">
        <v>132</v>
      </c>
      <c r="M58" s="12" t="s">
        <v>137</v>
      </c>
    </row>
    <row r="59" spans="1:13" ht="15" customHeight="1" x14ac:dyDescent="0.3">
      <c r="A59" s="3"/>
      <c r="B59" s="4" t="s">
        <v>34</v>
      </c>
      <c r="C59" s="16"/>
      <c r="D59" s="2"/>
      <c r="E59" s="6" t="str">
        <f t="shared" si="0"/>
        <v>GitLab CI/CD</v>
      </c>
      <c r="F59" t="s">
        <v>58</v>
      </c>
      <c r="G59" t="s">
        <v>58</v>
      </c>
      <c r="H59" s="9" t="s">
        <v>58</v>
      </c>
      <c r="I59" s="12" t="s">
        <v>69</v>
      </c>
      <c r="J59" s="12" t="s">
        <v>108</v>
      </c>
      <c r="K59" s="12" t="s">
        <v>129</v>
      </c>
      <c r="L59" s="12" t="s">
        <v>132</v>
      </c>
      <c r="M59" s="12" t="s">
        <v>137</v>
      </c>
    </row>
    <row r="60" spans="1:13" ht="15" customHeight="1" x14ac:dyDescent="0.3">
      <c r="A60" s="3"/>
      <c r="B60" s="4" t="s">
        <v>34</v>
      </c>
      <c r="C60" s="16"/>
      <c r="D60" s="2"/>
      <c r="E60" s="6" t="str">
        <f t="shared" si="0"/>
        <v>Terraform</v>
      </c>
      <c r="F60" t="s">
        <v>58</v>
      </c>
      <c r="G60" t="s">
        <v>58</v>
      </c>
      <c r="H60" s="9" t="s">
        <v>58</v>
      </c>
      <c r="I60" s="12" t="s">
        <v>69</v>
      </c>
      <c r="J60" s="12" t="s">
        <v>108</v>
      </c>
      <c r="K60" s="12" t="s">
        <v>129</v>
      </c>
      <c r="L60" s="12" t="s">
        <v>132</v>
      </c>
      <c r="M60" s="12" t="s">
        <v>137</v>
      </c>
    </row>
    <row r="61" spans="1:13" ht="15" customHeight="1" x14ac:dyDescent="0.3">
      <c r="A61" s="3"/>
      <c r="B61" s="4" t="s">
        <v>34</v>
      </c>
      <c r="C61" s="16"/>
      <c r="D61" s="2"/>
      <c r="E61" s="6" t="str">
        <f t="shared" si="0"/>
        <v>Kubernetes</v>
      </c>
      <c r="F61" t="s">
        <v>58</v>
      </c>
      <c r="G61" t="s">
        <v>58</v>
      </c>
      <c r="H61" s="9" t="s">
        <v>58</v>
      </c>
      <c r="I61" s="12" t="s">
        <v>69</v>
      </c>
      <c r="J61" s="12" t="s">
        <v>108</v>
      </c>
      <c r="K61" s="12" t="s">
        <v>129</v>
      </c>
      <c r="L61" s="12" t="s">
        <v>132</v>
      </c>
      <c r="M61" s="12" t="s">
        <v>137</v>
      </c>
    </row>
    <row r="62" spans="1:13" ht="28.8" x14ac:dyDescent="0.3">
      <c r="A62" s="3"/>
      <c r="B62" s="4" t="s">
        <v>34</v>
      </c>
      <c r="C62" s="17"/>
      <c r="D62" s="2"/>
      <c r="E62" s="6" t="str">
        <f t="shared" si="0"/>
        <v>ServiceNow</v>
      </c>
      <c r="F62" t="s">
        <v>58</v>
      </c>
      <c r="G62" t="s">
        <v>57</v>
      </c>
      <c r="H62" s="8" t="s">
        <v>57</v>
      </c>
      <c r="I62" s="12" t="s">
        <v>69</v>
      </c>
      <c r="J62" s="12" t="s">
        <v>108</v>
      </c>
      <c r="K62" s="12" t="s">
        <v>129</v>
      </c>
      <c r="L62" s="12" t="s">
        <v>132</v>
      </c>
      <c r="M62" s="12" t="s">
        <v>137</v>
      </c>
    </row>
    <row r="63" spans="1:13" ht="28.8" x14ac:dyDescent="0.3">
      <c r="A63" s="3" t="s">
        <v>20</v>
      </c>
      <c r="B63" s="4" t="s">
        <v>35</v>
      </c>
      <c r="C63" s="16" t="s">
        <v>43</v>
      </c>
      <c r="D63" s="2"/>
      <c r="E63" s="6" t="str">
        <f t="shared" si="0"/>
        <v>Temenos T24</v>
      </c>
      <c r="F63" t="s">
        <v>58</v>
      </c>
      <c r="G63" t="s">
        <v>57</v>
      </c>
      <c r="H63" s="8" t="s">
        <v>57</v>
      </c>
      <c r="I63" s="12" t="s">
        <v>70</v>
      </c>
      <c r="J63" s="12" t="s">
        <v>110</v>
      </c>
      <c r="K63" s="12" t="s">
        <v>129</v>
      </c>
      <c r="L63" s="12" t="s">
        <v>132</v>
      </c>
      <c r="M63" s="12" t="s">
        <v>136</v>
      </c>
    </row>
    <row r="64" spans="1:13" ht="28.8" x14ac:dyDescent="0.3">
      <c r="A64" s="3"/>
      <c r="B64" s="4" t="s">
        <v>35</v>
      </c>
      <c r="C64" s="16"/>
      <c r="D64" s="2"/>
      <c r="E64" s="6" t="str">
        <f t="shared" ref="E64:E71" si="1">E55</f>
        <v>Salesforce FC</v>
      </c>
      <c r="F64" t="s">
        <v>58</v>
      </c>
      <c r="G64" t="s">
        <v>57</v>
      </c>
      <c r="H64" s="8" t="s">
        <v>57</v>
      </c>
      <c r="I64" s="12" t="s">
        <v>70</v>
      </c>
      <c r="J64" s="12" t="s">
        <v>111</v>
      </c>
      <c r="K64" s="12" t="s">
        <v>129</v>
      </c>
      <c r="L64" s="12" t="s">
        <v>132</v>
      </c>
      <c r="M64" s="12" t="s">
        <v>136</v>
      </c>
    </row>
    <row r="65" spans="1:13" ht="28.8" x14ac:dyDescent="0.3">
      <c r="A65" s="3"/>
      <c r="B65" s="4" t="s">
        <v>35</v>
      </c>
      <c r="C65" s="16"/>
      <c r="D65" s="2"/>
      <c r="E65" s="6" t="str">
        <f t="shared" si="1"/>
        <v>AWS Sagemaker</v>
      </c>
      <c r="F65" t="s">
        <v>58</v>
      </c>
      <c r="G65" t="s">
        <v>57</v>
      </c>
      <c r="H65" s="8" t="s">
        <v>57</v>
      </c>
      <c r="I65" s="12" t="s">
        <v>70</v>
      </c>
      <c r="J65" s="12" t="s">
        <v>111</v>
      </c>
      <c r="K65" s="12" t="s">
        <v>129</v>
      </c>
      <c r="L65" s="12" t="s">
        <v>132</v>
      </c>
      <c r="M65" s="12" t="s">
        <v>136</v>
      </c>
    </row>
    <row r="66" spans="1:13" ht="28.8" x14ac:dyDescent="0.3">
      <c r="A66" s="3"/>
      <c r="B66" s="4" t="s">
        <v>35</v>
      </c>
      <c r="C66" s="16"/>
      <c r="D66" s="2"/>
      <c r="E66" s="6" t="str">
        <f t="shared" si="1"/>
        <v>Snowflake</v>
      </c>
      <c r="F66" t="s">
        <v>58</v>
      </c>
      <c r="G66" t="s">
        <v>57</v>
      </c>
      <c r="H66" s="8" t="s">
        <v>57</v>
      </c>
      <c r="I66" s="12" t="s">
        <v>70</v>
      </c>
      <c r="J66" s="12" t="s">
        <v>111</v>
      </c>
      <c r="K66" s="12" t="s">
        <v>129</v>
      </c>
      <c r="L66" s="12" t="s">
        <v>132</v>
      </c>
      <c r="M66" s="12" t="s">
        <v>136</v>
      </c>
    </row>
    <row r="67" spans="1:13" ht="28.8" x14ac:dyDescent="0.3">
      <c r="A67" s="3"/>
      <c r="B67" s="4" t="s">
        <v>35</v>
      </c>
      <c r="C67" s="16"/>
      <c r="D67" s="2"/>
      <c r="E67" s="6" t="str">
        <f t="shared" si="1"/>
        <v>Microsoft Power BI</v>
      </c>
      <c r="F67" t="s">
        <v>58</v>
      </c>
      <c r="G67" t="s">
        <v>58</v>
      </c>
      <c r="H67" s="9" t="s">
        <v>58</v>
      </c>
      <c r="I67" s="12" t="s">
        <v>70</v>
      </c>
      <c r="J67" s="12" t="s">
        <v>111</v>
      </c>
      <c r="K67" s="12" t="s">
        <v>129</v>
      </c>
      <c r="L67" s="12" t="s">
        <v>132</v>
      </c>
      <c r="M67" s="12" t="s">
        <v>136</v>
      </c>
    </row>
    <row r="68" spans="1:13" ht="28.8" x14ac:dyDescent="0.3">
      <c r="A68" s="3"/>
      <c r="B68" s="4" t="s">
        <v>35</v>
      </c>
      <c r="C68" s="16"/>
      <c r="D68" s="2"/>
      <c r="E68" s="6" t="str">
        <f t="shared" si="1"/>
        <v>GitLab CI/CD</v>
      </c>
      <c r="F68" t="s">
        <v>58</v>
      </c>
      <c r="G68" t="s">
        <v>58</v>
      </c>
      <c r="H68" s="9" t="s">
        <v>58</v>
      </c>
      <c r="I68" s="12" t="s">
        <v>70</v>
      </c>
      <c r="J68" s="12" t="s">
        <v>111</v>
      </c>
      <c r="K68" s="12" t="s">
        <v>129</v>
      </c>
      <c r="L68" s="12" t="s">
        <v>132</v>
      </c>
      <c r="M68" s="12" t="s">
        <v>136</v>
      </c>
    </row>
    <row r="69" spans="1:13" ht="28.8" x14ac:dyDescent="0.3">
      <c r="A69" s="3"/>
      <c r="B69" s="4" t="s">
        <v>35</v>
      </c>
      <c r="C69" s="16"/>
      <c r="D69" s="2"/>
      <c r="E69" s="6" t="str">
        <f t="shared" si="1"/>
        <v>Terraform</v>
      </c>
      <c r="F69" t="s">
        <v>58</v>
      </c>
      <c r="G69" t="s">
        <v>58</v>
      </c>
      <c r="H69" s="9" t="s">
        <v>58</v>
      </c>
      <c r="I69" s="12" t="s">
        <v>70</v>
      </c>
      <c r="J69" s="12" t="s">
        <v>111</v>
      </c>
      <c r="K69" s="12" t="s">
        <v>129</v>
      </c>
      <c r="L69" s="12" t="s">
        <v>132</v>
      </c>
      <c r="M69" s="12" t="s">
        <v>136</v>
      </c>
    </row>
    <row r="70" spans="1:13" ht="28.8" x14ac:dyDescent="0.3">
      <c r="A70" s="3"/>
      <c r="B70" s="4" t="s">
        <v>35</v>
      </c>
      <c r="C70" s="16"/>
      <c r="D70" s="2"/>
      <c r="E70" s="6" t="str">
        <f t="shared" si="1"/>
        <v>Kubernetes</v>
      </c>
      <c r="F70" t="s">
        <v>58</v>
      </c>
      <c r="G70" t="s">
        <v>58</v>
      </c>
      <c r="H70" s="9" t="s">
        <v>58</v>
      </c>
      <c r="I70" s="12" t="s">
        <v>70</v>
      </c>
      <c r="J70" s="12" t="s">
        <v>111</v>
      </c>
      <c r="K70" s="12" t="s">
        <v>129</v>
      </c>
      <c r="L70" s="12" t="s">
        <v>132</v>
      </c>
      <c r="M70" s="12" t="s">
        <v>136</v>
      </c>
    </row>
    <row r="71" spans="1:13" ht="28.8" x14ac:dyDescent="0.3">
      <c r="A71" s="3"/>
      <c r="B71" s="4" t="s">
        <v>35</v>
      </c>
      <c r="C71" s="17"/>
      <c r="D71" s="2"/>
      <c r="E71" s="6" t="str">
        <f t="shared" si="1"/>
        <v>ServiceNow</v>
      </c>
      <c r="F71" t="s">
        <v>58</v>
      </c>
      <c r="G71" t="s">
        <v>57</v>
      </c>
      <c r="H71" s="8" t="s">
        <v>57</v>
      </c>
      <c r="I71" s="12" t="s">
        <v>70</v>
      </c>
      <c r="J71" s="12" t="s">
        <v>111</v>
      </c>
      <c r="K71" s="12" t="s">
        <v>129</v>
      </c>
      <c r="L71" s="12" t="s">
        <v>132</v>
      </c>
      <c r="M71" s="12" t="s">
        <v>136</v>
      </c>
    </row>
    <row r="72" spans="1:13" ht="28.8" x14ac:dyDescent="0.3">
      <c r="A72" s="3" t="s">
        <v>21</v>
      </c>
      <c r="B72" s="4" t="s">
        <v>36</v>
      </c>
      <c r="C72" s="16" t="s">
        <v>43</v>
      </c>
      <c r="D72" s="2"/>
      <c r="E72" s="6" t="str">
        <f>E63</f>
        <v>Temenos T24</v>
      </c>
      <c r="F72" t="s">
        <v>59</v>
      </c>
      <c r="G72" t="s">
        <v>57</v>
      </c>
      <c r="H72" s="9" t="s">
        <v>58</v>
      </c>
      <c r="I72" s="12" t="s">
        <v>71</v>
      </c>
      <c r="J72" s="12" t="s">
        <v>112</v>
      </c>
      <c r="K72" s="12" t="s">
        <v>129</v>
      </c>
      <c r="L72" s="12" t="s">
        <v>132</v>
      </c>
      <c r="M72" s="12" t="s">
        <v>138</v>
      </c>
    </row>
    <row r="73" spans="1:13" ht="28.8" x14ac:dyDescent="0.3">
      <c r="A73" s="3"/>
      <c r="B73" s="4" t="s">
        <v>36</v>
      </c>
      <c r="C73" s="16"/>
      <c r="D73" s="2"/>
      <c r="E73" s="6" t="str">
        <f t="shared" ref="E73:E80" si="2">E64</f>
        <v>Salesforce FC</v>
      </c>
      <c r="F73" t="s">
        <v>59</v>
      </c>
      <c r="G73" t="s">
        <v>57</v>
      </c>
      <c r="H73" s="9" t="s">
        <v>58</v>
      </c>
      <c r="I73" s="12" t="s">
        <v>71</v>
      </c>
      <c r="J73" s="12" t="s">
        <v>112</v>
      </c>
      <c r="K73" s="12" t="s">
        <v>129</v>
      </c>
      <c r="L73" s="12" t="s">
        <v>132</v>
      </c>
      <c r="M73" s="12" t="s">
        <v>138</v>
      </c>
    </row>
    <row r="74" spans="1:13" ht="28.8" x14ac:dyDescent="0.3">
      <c r="A74" s="3"/>
      <c r="B74" s="4" t="s">
        <v>36</v>
      </c>
      <c r="C74" s="16"/>
      <c r="D74" s="2"/>
      <c r="E74" s="6" t="str">
        <f t="shared" si="2"/>
        <v>AWS Sagemaker</v>
      </c>
      <c r="F74" t="s">
        <v>59</v>
      </c>
      <c r="G74" t="s">
        <v>58</v>
      </c>
      <c r="H74" s="9" t="s">
        <v>58</v>
      </c>
      <c r="I74" s="12" t="s">
        <v>71</v>
      </c>
      <c r="J74" s="12" t="s">
        <v>112</v>
      </c>
      <c r="K74" s="12" t="s">
        <v>129</v>
      </c>
      <c r="L74" s="12" t="s">
        <v>132</v>
      </c>
      <c r="M74" s="12" t="s">
        <v>138</v>
      </c>
    </row>
    <row r="75" spans="1:13" ht="28.8" x14ac:dyDescent="0.3">
      <c r="A75" s="3"/>
      <c r="B75" s="4" t="s">
        <v>36</v>
      </c>
      <c r="C75" s="16"/>
      <c r="D75" s="2"/>
      <c r="E75" s="6" t="str">
        <f t="shared" si="2"/>
        <v>Snowflake</v>
      </c>
      <c r="F75" t="s">
        <v>59</v>
      </c>
      <c r="G75" t="s">
        <v>58</v>
      </c>
      <c r="H75" s="9" t="s">
        <v>58</v>
      </c>
      <c r="I75" s="12" t="s">
        <v>71</v>
      </c>
      <c r="J75" s="12" t="s">
        <v>112</v>
      </c>
      <c r="K75" s="12" t="s">
        <v>129</v>
      </c>
      <c r="L75" s="12" t="s">
        <v>132</v>
      </c>
      <c r="M75" s="12" t="s">
        <v>138</v>
      </c>
    </row>
    <row r="76" spans="1:13" ht="28.8" x14ac:dyDescent="0.3">
      <c r="A76" s="3"/>
      <c r="B76" s="4" t="s">
        <v>36</v>
      </c>
      <c r="C76" s="16"/>
      <c r="D76" s="2"/>
      <c r="E76" s="6" t="str">
        <f t="shared" si="2"/>
        <v>Microsoft Power BI</v>
      </c>
      <c r="F76" t="s">
        <v>59</v>
      </c>
      <c r="G76" t="s">
        <v>58</v>
      </c>
      <c r="H76" s="9" t="s">
        <v>58</v>
      </c>
      <c r="I76" s="12" t="s">
        <v>71</v>
      </c>
      <c r="J76" s="12" t="s">
        <v>112</v>
      </c>
      <c r="K76" s="12" t="s">
        <v>129</v>
      </c>
      <c r="L76" s="12" t="s">
        <v>132</v>
      </c>
      <c r="M76" s="12" t="s">
        <v>138</v>
      </c>
    </row>
    <row r="77" spans="1:13" ht="28.8" x14ac:dyDescent="0.3">
      <c r="A77" s="3"/>
      <c r="B77" s="4" t="s">
        <v>36</v>
      </c>
      <c r="C77" s="16"/>
      <c r="D77" s="2"/>
      <c r="E77" s="6" t="str">
        <f t="shared" si="2"/>
        <v>GitLab CI/CD</v>
      </c>
      <c r="F77" t="s">
        <v>59</v>
      </c>
      <c r="G77" t="s">
        <v>58</v>
      </c>
      <c r="H77" s="9" t="s">
        <v>58</v>
      </c>
      <c r="I77" s="12" t="s">
        <v>71</v>
      </c>
      <c r="J77" s="12" t="s">
        <v>112</v>
      </c>
      <c r="K77" s="12" t="s">
        <v>129</v>
      </c>
      <c r="L77" s="12" t="s">
        <v>132</v>
      </c>
      <c r="M77" s="12" t="s">
        <v>138</v>
      </c>
    </row>
    <row r="78" spans="1:13" ht="28.8" x14ac:dyDescent="0.3">
      <c r="A78" s="3"/>
      <c r="B78" s="4" t="s">
        <v>36</v>
      </c>
      <c r="C78" s="16"/>
      <c r="D78" s="2"/>
      <c r="E78" s="6" t="str">
        <f t="shared" si="2"/>
        <v>Terraform</v>
      </c>
      <c r="F78" t="s">
        <v>59</v>
      </c>
      <c r="G78" t="s">
        <v>58</v>
      </c>
      <c r="H78" s="9" t="s">
        <v>58</v>
      </c>
      <c r="I78" s="12" t="s">
        <v>71</v>
      </c>
      <c r="J78" s="12" t="s">
        <v>112</v>
      </c>
      <c r="K78" s="12" t="s">
        <v>129</v>
      </c>
      <c r="L78" s="12" t="s">
        <v>132</v>
      </c>
      <c r="M78" s="12" t="s">
        <v>138</v>
      </c>
    </row>
    <row r="79" spans="1:13" ht="28.8" x14ac:dyDescent="0.3">
      <c r="A79" s="3"/>
      <c r="B79" s="4" t="s">
        <v>36</v>
      </c>
      <c r="C79" s="16"/>
      <c r="D79" s="2"/>
      <c r="E79" s="6" t="str">
        <f t="shared" si="2"/>
        <v>Kubernetes</v>
      </c>
      <c r="F79" t="s">
        <v>59</v>
      </c>
      <c r="G79" t="s">
        <v>58</v>
      </c>
      <c r="H79" s="9" t="s">
        <v>58</v>
      </c>
      <c r="I79" s="12" t="s">
        <v>71</v>
      </c>
      <c r="J79" s="12" t="s">
        <v>112</v>
      </c>
      <c r="K79" s="12" t="s">
        <v>129</v>
      </c>
      <c r="L79" s="12" t="s">
        <v>132</v>
      </c>
      <c r="M79" s="12" t="s">
        <v>138</v>
      </c>
    </row>
    <row r="80" spans="1:13" ht="28.8" x14ac:dyDescent="0.3">
      <c r="A80" s="3"/>
      <c r="B80" s="4" t="s">
        <v>36</v>
      </c>
      <c r="C80" s="17"/>
      <c r="D80" s="2"/>
      <c r="E80" s="6" t="str">
        <f t="shared" si="2"/>
        <v>ServiceNow</v>
      </c>
      <c r="F80" t="s">
        <v>59</v>
      </c>
      <c r="G80" t="s">
        <v>57</v>
      </c>
      <c r="H80" s="9" t="s">
        <v>58</v>
      </c>
      <c r="I80" s="12" t="s">
        <v>71</v>
      </c>
      <c r="J80" s="12" t="s">
        <v>112</v>
      </c>
      <c r="K80" s="12" t="s">
        <v>129</v>
      </c>
      <c r="L80" s="12" t="s">
        <v>132</v>
      </c>
      <c r="M80" s="12" t="s">
        <v>138</v>
      </c>
    </row>
    <row r="81" spans="1:13" ht="28.8" x14ac:dyDescent="0.3">
      <c r="A81" s="3" t="s">
        <v>22</v>
      </c>
      <c r="B81" s="4" t="s">
        <v>37</v>
      </c>
      <c r="C81" s="16" t="s">
        <v>43</v>
      </c>
      <c r="D81" s="2"/>
      <c r="E81" s="6" t="s">
        <v>48</v>
      </c>
      <c r="F81" t="s">
        <v>58</v>
      </c>
      <c r="G81" t="s">
        <v>58</v>
      </c>
      <c r="H81" s="9" t="s">
        <v>58</v>
      </c>
      <c r="I81" s="12" t="s">
        <v>72</v>
      </c>
      <c r="J81" s="12" t="s">
        <v>113</v>
      </c>
      <c r="K81" s="12" t="s">
        <v>129</v>
      </c>
      <c r="L81" s="12" t="s">
        <v>133</v>
      </c>
      <c r="M81" t="str">
        <f>M34</f>
        <v>IT Operations Manager</v>
      </c>
    </row>
    <row r="82" spans="1:13" ht="28.8" x14ac:dyDescent="0.3">
      <c r="A82" s="3"/>
      <c r="B82" s="4" t="s">
        <v>37</v>
      </c>
      <c r="C82" s="16"/>
      <c r="D82" s="2"/>
      <c r="E82" s="6" t="s">
        <v>47</v>
      </c>
      <c r="F82" t="s">
        <v>58</v>
      </c>
      <c r="G82" t="s">
        <v>58</v>
      </c>
      <c r="H82" s="9" t="s">
        <v>58</v>
      </c>
      <c r="I82" s="12" t="s">
        <v>72</v>
      </c>
      <c r="J82" s="12" t="s">
        <v>113</v>
      </c>
      <c r="K82" s="12" t="s">
        <v>129</v>
      </c>
      <c r="L82" s="12" t="s">
        <v>133</v>
      </c>
      <c r="M82" t="str">
        <f>M35</f>
        <v>IT Operations Manager</v>
      </c>
    </row>
    <row r="83" spans="1:13" ht="28.8" x14ac:dyDescent="0.3">
      <c r="A83" s="3"/>
      <c r="B83" s="4" t="s">
        <v>37</v>
      </c>
      <c r="C83" s="16"/>
      <c r="D83" s="2"/>
      <c r="E83" s="6" t="s">
        <v>45</v>
      </c>
      <c r="F83" t="s">
        <v>58</v>
      </c>
      <c r="G83" t="s">
        <v>58</v>
      </c>
      <c r="H83" s="9" t="s">
        <v>58</v>
      </c>
      <c r="I83" s="12" t="s">
        <v>72</v>
      </c>
      <c r="J83" s="12" t="s">
        <v>113</v>
      </c>
      <c r="K83" s="12" t="s">
        <v>129</v>
      </c>
      <c r="L83" s="12" t="s">
        <v>133</v>
      </c>
      <c r="M83" t="str">
        <f>M32</f>
        <v>IT Operations Manager</v>
      </c>
    </row>
    <row r="84" spans="1:13" ht="28.8" x14ac:dyDescent="0.3">
      <c r="A84" s="3"/>
      <c r="B84" s="4" t="s">
        <v>37</v>
      </c>
      <c r="C84" s="16"/>
      <c r="D84" s="2"/>
      <c r="E84" s="6" t="s">
        <v>51</v>
      </c>
      <c r="F84" t="s">
        <v>58</v>
      </c>
      <c r="G84" t="s">
        <v>58</v>
      </c>
      <c r="H84" s="9" t="s">
        <v>58</v>
      </c>
      <c r="I84" s="12" t="s">
        <v>72</v>
      </c>
      <c r="J84" s="12" t="s">
        <v>113</v>
      </c>
      <c r="K84" s="12" t="s">
        <v>129</v>
      </c>
      <c r="L84" s="12" t="s">
        <v>133</v>
      </c>
      <c r="M84" t="str">
        <f t="shared" ref="M84:M86" si="3">M33</f>
        <v>IT Operations Manager</v>
      </c>
    </row>
    <row r="85" spans="1:13" ht="28.8" x14ac:dyDescent="0.3">
      <c r="A85" s="3"/>
      <c r="B85" s="4" t="s">
        <v>37</v>
      </c>
      <c r="C85" s="16"/>
      <c r="D85" s="2"/>
      <c r="E85" s="6" t="s">
        <v>54</v>
      </c>
      <c r="F85" t="s">
        <v>58</v>
      </c>
      <c r="G85" t="s">
        <v>58</v>
      </c>
      <c r="H85" s="9" t="s">
        <v>58</v>
      </c>
      <c r="I85" s="12" t="s">
        <v>72</v>
      </c>
      <c r="J85" s="12" t="s">
        <v>113</v>
      </c>
      <c r="K85" s="12" t="s">
        <v>129</v>
      </c>
      <c r="L85" s="12" t="s">
        <v>133</v>
      </c>
      <c r="M85" t="str">
        <f t="shared" si="3"/>
        <v>IT Operations Manager</v>
      </c>
    </row>
    <row r="86" spans="1:13" ht="28.8" x14ac:dyDescent="0.3">
      <c r="A86" s="3"/>
      <c r="B86" s="4" t="s">
        <v>37</v>
      </c>
      <c r="C86" s="17"/>
      <c r="D86" s="2"/>
      <c r="E86" s="6" t="s">
        <v>56</v>
      </c>
      <c r="F86" t="s">
        <v>58</v>
      </c>
      <c r="G86" t="s">
        <v>58</v>
      </c>
      <c r="H86" s="9" t="s">
        <v>58</v>
      </c>
      <c r="I86" s="12" t="s">
        <v>72</v>
      </c>
      <c r="J86" s="12" t="s">
        <v>113</v>
      </c>
      <c r="K86" s="12" t="s">
        <v>129</v>
      </c>
      <c r="L86" s="12" t="s">
        <v>133</v>
      </c>
      <c r="M86" t="str">
        <f t="shared" si="3"/>
        <v>IT Operations Manager</v>
      </c>
    </row>
    <row r="87" spans="1:13" ht="28.8" x14ac:dyDescent="0.3">
      <c r="A87" s="3" t="s">
        <v>23</v>
      </c>
      <c r="B87" s="4" t="s">
        <v>38</v>
      </c>
      <c r="C87" s="16" t="s">
        <v>43</v>
      </c>
      <c r="D87" s="2"/>
      <c r="E87" s="6" t="str">
        <f>E72</f>
        <v>Temenos T24</v>
      </c>
      <c r="F87" t="s">
        <v>58</v>
      </c>
      <c r="G87" t="s">
        <v>58</v>
      </c>
      <c r="H87" s="9" t="s">
        <v>58</v>
      </c>
      <c r="I87" s="12" t="s">
        <v>87</v>
      </c>
      <c r="J87" s="12" t="s">
        <v>114</v>
      </c>
      <c r="K87" s="12" t="s">
        <v>129</v>
      </c>
      <c r="L87" s="12" t="s">
        <v>132</v>
      </c>
      <c r="M87" s="12" t="s">
        <v>138</v>
      </c>
    </row>
    <row r="88" spans="1:13" ht="28.8" x14ac:dyDescent="0.3">
      <c r="A88" s="3"/>
      <c r="B88" s="4" t="s">
        <v>38</v>
      </c>
      <c r="C88" s="16"/>
      <c r="D88" s="2"/>
      <c r="E88" s="6" t="str">
        <f t="shared" ref="E88:E95" si="4">E73</f>
        <v>Salesforce FC</v>
      </c>
      <c r="F88" t="s">
        <v>58</v>
      </c>
      <c r="G88" t="s">
        <v>58</v>
      </c>
      <c r="H88" s="9" t="s">
        <v>58</v>
      </c>
      <c r="I88" s="12" t="s">
        <v>88</v>
      </c>
      <c r="J88" s="12" t="s">
        <v>114</v>
      </c>
      <c r="K88" s="12" t="s">
        <v>129</v>
      </c>
      <c r="L88" s="12" t="s">
        <v>132</v>
      </c>
      <c r="M88" s="12" t="s">
        <v>138</v>
      </c>
    </row>
    <row r="89" spans="1:13" ht="28.8" x14ac:dyDescent="0.3">
      <c r="A89" s="3"/>
      <c r="B89" s="4" t="s">
        <v>38</v>
      </c>
      <c r="C89" s="16"/>
      <c r="D89" s="2"/>
      <c r="E89" s="6" t="str">
        <f t="shared" si="4"/>
        <v>AWS Sagemaker</v>
      </c>
      <c r="F89" t="s">
        <v>58</v>
      </c>
      <c r="G89" t="s">
        <v>58</v>
      </c>
      <c r="H89" s="9" t="s">
        <v>58</v>
      </c>
      <c r="I89" s="12" t="s">
        <v>73</v>
      </c>
      <c r="J89" s="12" t="s">
        <v>114</v>
      </c>
      <c r="K89" s="12" t="s">
        <v>129</v>
      </c>
      <c r="L89" s="12" t="s">
        <v>132</v>
      </c>
      <c r="M89" s="12" t="s">
        <v>138</v>
      </c>
    </row>
    <row r="90" spans="1:13" ht="28.8" x14ac:dyDescent="0.3">
      <c r="A90" s="3"/>
      <c r="B90" s="4" t="s">
        <v>38</v>
      </c>
      <c r="C90" s="16"/>
      <c r="D90" s="2"/>
      <c r="E90" s="6" t="str">
        <f t="shared" si="4"/>
        <v>Snowflake</v>
      </c>
      <c r="F90" t="s">
        <v>58</v>
      </c>
      <c r="G90" t="s">
        <v>58</v>
      </c>
      <c r="H90" s="9" t="s">
        <v>58</v>
      </c>
      <c r="I90" s="12" t="s">
        <v>89</v>
      </c>
      <c r="J90" s="12" t="s">
        <v>114</v>
      </c>
      <c r="K90" s="12" t="s">
        <v>129</v>
      </c>
      <c r="L90" s="12" t="s">
        <v>132</v>
      </c>
      <c r="M90" s="12" t="s">
        <v>138</v>
      </c>
    </row>
    <row r="91" spans="1:13" ht="28.8" x14ac:dyDescent="0.3">
      <c r="A91" s="3"/>
      <c r="B91" s="4" t="s">
        <v>38</v>
      </c>
      <c r="C91" s="16"/>
      <c r="D91" s="2"/>
      <c r="E91" s="6" t="str">
        <f t="shared" si="4"/>
        <v>Microsoft Power BI</v>
      </c>
      <c r="F91" t="s">
        <v>58</v>
      </c>
      <c r="G91" t="s">
        <v>58</v>
      </c>
      <c r="H91" s="9" t="s">
        <v>58</v>
      </c>
      <c r="I91" s="12" t="s">
        <v>90</v>
      </c>
      <c r="J91" s="12" t="s">
        <v>114</v>
      </c>
      <c r="K91" s="12" t="s">
        <v>129</v>
      </c>
      <c r="L91" s="12" t="s">
        <v>132</v>
      </c>
      <c r="M91" s="12" t="s">
        <v>138</v>
      </c>
    </row>
    <row r="92" spans="1:13" ht="28.8" x14ac:dyDescent="0.3">
      <c r="A92" s="3"/>
      <c r="B92" s="4" t="s">
        <v>38</v>
      </c>
      <c r="C92" s="16"/>
      <c r="D92" s="2"/>
      <c r="E92" s="6" t="str">
        <f t="shared" si="4"/>
        <v>GitLab CI/CD</v>
      </c>
      <c r="F92" t="s">
        <v>58</v>
      </c>
      <c r="G92" t="s">
        <v>58</v>
      </c>
      <c r="H92" s="9" t="s">
        <v>58</v>
      </c>
      <c r="I92" s="12" t="s">
        <v>73</v>
      </c>
      <c r="J92" s="12" t="s">
        <v>114</v>
      </c>
      <c r="K92" s="12" t="s">
        <v>129</v>
      </c>
      <c r="L92" s="12" t="s">
        <v>132</v>
      </c>
      <c r="M92" s="12" t="s">
        <v>138</v>
      </c>
    </row>
    <row r="93" spans="1:13" ht="28.8" x14ac:dyDescent="0.3">
      <c r="A93" s="3"/>
      <c r="B93" s="4" t="s">
        <v>38</v>
      </c>
      <c r="C93" s="16"/>
      <c r="D93" s="2"/>
      <c r="E93" s="6" t="str">
        <f t="shared" si="4"/>
        <v>Terraform</v>
      </c>
      <c r="F93" t="s">
        <v>58</v>
      </c>
      <c r="G93" t="s">
        <v>58</v>
      </c>
      <c r="H93" s="9" t="s">
        <v>58</v>
      </c>
      <c r="I93" s="12" t="s">
        <v>73</v>
      </c>
      <c r="J93" s="12" t="s">
        <v>114</v>
      </c>
      <c r="K93" s="12" t="s">
        <v>129</v>
      </c>
      <c r="L93" s="12" t="s">
        <v>132</v>
      </c>
      <c r="M93" s="12" t="s">
        <v>138</v>
      </c>
    </row>
    <row r="94" spans="1:13" ht="28.8" x14ac:dyDescent="0.3">
      <c r="A94" s="3"/>
      <c r="B94" s="4" t="s">
        <v>38</v>
      </c>
      <c r="C94" s="16"/>
      <c r="D94" s="2"/>
      <c r="E94" s="6" t="str">
        <f t="shared" si="4"/>
        <v>Kubernetes</v>
      </c>
      <c r="F94" t="s">
        <v>58</v>
      </c>
      <c r="G94" t="s">
        <v>58</v>
      </c>
      <c r="H94" s="9" t="s">
        <v>58</v>
      </c>
      <c r="I94" s="12" t="s">
        <v>73</v>
      </c>
      <c r="J94" s="12" t="s">
        <v>114</v>
      </c>
      <c r="K94" s="12" t="s">
        <v>129</v>
      </c>
      <c r="L94" s="12" t="s">
        <v>132</v>
      </c>
      <c r="M94" s="12" t="s">
        <v>138</v>
      </c>
    </row>
    <row r="95" spans="1:13" ht="28.8" x14ac:dyDescent="0.3">
      <c r="A95" s="3"/>
      <c r="B95" s="4" t="s">
        <v>38</v>
      </c>
      <c r="C95" s="17"/>
      <c r="D95" s="2"/>
      <c r="E95" s="6" t="str">
        <f t="shared" si="4"/>
        <v>ServiceNow</v>
      </c>
      <c r="F95" t="s">
        <v>58</v>
      </c>
      <c r="G95" t="s">
        <v>58</v>
      </c>
      <c r="H95" s="9" t="s">
        <v>58</v>
      </c>
      <c r="I95" s="12" t="s">
        <v>73</v>
      </c>
      <c r="J95" s="12" t="s">
        <v>114</v>
      </c>
      <c r="K95" s="12" t="s">
        <v>129</v>
      </c>
      <c r="L95" s="12" t="s">
        <v>132</v>
      </c>
      <c r="M95" s="12" t="s">
        <v>138</v>
      </c>
    </row>
    <row r="96" spans="1:13" x14ac:dyDescent="0.3">
      <c r="A96" s="3" t="s">
        <v>24</v>
      </c>
      <c r="B96" s="4" t="s">
        <v>39</v>
      </c>
      <c r="C96" s="16" t="s">
        <v>43</v>
      </c>
      <c r="D96" s="2"/>
      <c r="E96" s="6" t="str">
        <f>E72</f>
        <v>Temenos T24</v>
      </c>
      <c r="F96" t="s">
        <v>59</v>
      </c>
      <c r="G96" t="s">
        <v>57</v>
      </c>
      <c r="H96" s="9" t="s">
        <v>58</v>
      </c>
      <c r="I96" s="12" t="s">
        <v>74</v>
      </c>
      <c r="J96" s="12" t="s">
        <v>115</v>
      </c>
      <c r="K96" s="12" t="s">
        <v>129</v>
      </c>
      <c r="L96" s="12" t="s">
        <v>132</v>
      </c>
      <c r="M96" s="12" t="s">
        <v>136</v>
      </c>
    </row>
    <row r="97" spans="1:13" ht="28.8" x14ac:dyDescent="0.3">
      <c r="A97" s="3"/>
      <c r="B97" s="4" t="s">
        <v>39</v>
      </c>
      <c r="C97" s="16"/>
      <c r="D97" s="2"/>
      <c r="E97" s="6" t="str">
        <f t="shared" ref="E97:E104" si="5">E73</f>
        <v>Salesforce FC</v>
      </c>
      <c r="F97" t="s">
        <v>59</v>
      </c>
      <c r="G97" t="s">
        <v>57</v>
      </c>
      <c r="H97" s="9" t="s">
        <v>58</v>
      </c>
      <c r="I97" s="12" t="s">
        <v>75</v>
      </c>
      <c r="J97" s="12" t="s">
        <v>116</v>
      </c>
      <c r="K97" s="12" t="s">
        <v>129</v>
      </c>
      <c r="L97" s="12" t="s">
        <v>132</v>
      </c>
      <c r="M97" s="12" t="s">
        <v>136</v>
      </c>
    </row>
    <row r="98" spans="1:13" x14ac:dyDescent="0.3">
      <c r="A98" s="3"/>
      <c r="B98" s="4" t="s">
        <v>39</v>
      </c>
      <c r="C98" s="16"/>
      <c r="D98" s="2"/>
      <c r="E98" s="6" t="str">
        <f t="shared" si="5"/>
        <v>AWS Sagemaker</v>
      </c>
      <c r="F98" t="s">
        <v>59</v>
      </c>
      <c r="G98" t="s">
        <v>57</v>
      </c>
      <c r="H98" s="9" t="s">
        <v>58</v>
      </c>
      <c r="I98" s="12" t="s">
        <v>76</v>
      </c>
      <c r="J98" s="12" t="s">
        <v>115</v>
      </c>
      <c r="K98" s="12" t="s">
        <v>129</v>
      </c>
      <c r="L98" s="12" t="s">
        <v>132</v>
      </c>
      <c r="M98" s="12" t="s">
        <v>136</v>
      </c>
    </row>
    <row r="99" spans="1:13" x14ac:dyDescent="0.3">
      <c r="A99" s="3"/>
      <c r="B99" s="4" t="s">
        <v>39</v>
      </c>
      <c r="C99" s="16"/>
      <c r="D99" s="2"/>
      <c r="E99" s="6" t="str">
        <f t="shared" si="5"/>
        <v>Snowflake</v>
      </c>
      <c r="F99" t="s">
        <v>59</v>
      </c>
      <c r="G99" t="s">
        <v>57</v>
      </c>
      <c r="H99" s="9" t="s">
        <v>58</v>
      </c>
      <c r="I99" s="12" t="s">
        <v>74</v>
      </c>
      <c r="J99" s="12" t="s">
        <v>115</v>
      </c>
      <c r="K99" s="12" t="s">
        <v>129</v>
      </c>
      <c r="L99" s="12" t="s">
        <v>132</v>
      </c>
      <c r="M99" s="12" t="s">
        <v>136</v>
      </c>
    </row>
    <row r="100" spans="1:13" x14ac:dyDescent="0.3">
      <c r="A100" s="3"/>
      <c r="B100" s="4" t="s">
        <v>39</v>
      </c>
      <c r="C100" s="16"/>
      <c r="D100" s="2"/>
      <c r="E100" s="6" t="str">
        <f t="shared" si="5"/>
        <v>Microsoft Power BI</v>
      </c>
      <c r="F100" t="s">
        <v>59</v>
      </c>
      <c r="G100" t="s">
        <v>57</v>
      </c>
      <c r="H100" s="9" t="s">
        <v>58</v>
      </c>
      <c r="I100" s="12" t="s">
        <v>74</v>
      </c>
      <c r="J100" s="12" t="s">
        <v>115</v>
      </c>
      <c r="K100" s="12" t="s">
        <v>129</v>
      </c>
      <c r="L100" s="12" t="s">
        <v>132</v>
      </c>
      <c r="M100" s="12" t="s">
        <v>136</v>
      </c>
    </row>
    <row r="101" spans="1:13" x14ac:dyDescent="0.3">
      <c r="A101" s="3"/>
      <c r="B101" s="4" t="s">
        <v>39</v>
      </c>
      <c r="C101" s="16"/>
      <c r="D101" s="2"/>
      <c r="E101" s="6" t="str">
        <f t="shared" si="5"/>
        <v>GitLab CI/CD</v>
      </c>
      <c r="F101" t="s">
        <v>59</v>
      </c>
      <c r="G101" t="s">
        <v>57</v>
      </c>
      <c r="H101" s="9" t="s">
        <v>58</v>
      </c>
      <c r="I101" s="12" t="s">
        <v>74</v>
      </c>
      <c r="J101" s="12" t="s">
        <v>115</v>
      </c>
      <c r="K101" s="12" t="s">
        <v>129</v>
      </c>
      <c r="L101" s="12" t="s">
        <v>132</v>
      </c>
      <c r="M101" s="12" t="s">
        <v>136</v>
      </c>
    </row>
    <row r="102" spans="1:13" x14ac:dyDescent="0.3">
      <c r="A102" s="3"/>
      <c r="B102" s="4" t="s">
        <v>39</v>
      </c>
      <c r="C102" s="16"/>
      <c r="D102" s="2"/>
      <c r="E102" s="6" t="str">
        <f t="shared" si="5"/>
        <v>Terraform</v>
      </c>
      <c r="F102" t="s">
        <v>59</v>
      </c>
      <c r="G102" t="s">
        <v>57</v>
      </c>
      <c r="H102" s="9" t="s">
        <v>58</v>
      </c>
      <c r="I102" s="12" t="s">
        <v>74</v>
      </c>
      <c r="J102" s="12" t="s">
        <v>115</v>
      </c>
      <c r="K102" s="12" t="s">
        <v>129</v>
      </c>
      <c r="L102" s="12" t="s">
        <v>132</v>
      </c>
      <c r="M102" s="12" t="s">
        <v>136</v>
      </c>
    </row>
    <row r="103" spans="1:13" x14ac:dyDescent="0.3">
      <c r="A103" s="3"/>
      <c r="B103" s="4" t="s">
        <v>39</v>
      </c>
      <c r="C103" s="16"/>
      <c r="D103" s="2"/>
      <c r="E103" s="6" t="str">
        <f t="shared" si="5"/>
        <v>Kubernetes</v>
      </c>
      <c r="F103" t="s">
        <v>59</v>
      </c>
      <c r="G103" t="s">
        <v>57</v>
      </c>
      <c r="H103" s="9" t="s">
        <v>58</v>
      </c>
      <c r="I103" s="12" t="s">
        <v>74</v>
      </c>
      <c r="J103" s="12" t="s">
        <v>115</v>
      </c>
      <c r="K103" s="12" t="s">
        <v>129</v>
      </c>
      <c r="L103" s="12" t="s">
        <v>132</v>
      </c>
      <c r="M103" s="12" t="s">
        <v>136</v>
      </c>
    </row>
    <row r="104" spans="1:13" x14ac:dyDescent="0.3">
      <c r="A104" s="3"/>
      <c r="B104" s="4" t="s">
        <v>39</v>
      </c>
      <c r="C104" s="17"/>
      <c r="D104" s="2"/>
      <c r="E104" s="6" t="str">
        <f t="shared" si="5"/>
        <v>ServiceNow</v>
      </c>
      <c r="F104" t="s">
        <v>59</v>
      </c>
      <c r="G104" t="s">
        <v>57</v>
      </c>
      <c r="H104" s="9" t="s">
        <v>58</v>
      </c>
      <c r="I104" s="12" t="s">
        <v>74</v>
      </c>
      <c r="J104" s="12" t="s">
        <v>115</v>
      </c>
      <c r="K104" s="12" t="s">
        <v>129</v>
      </c>
      <c r="L104" s="12" t="s">
        <v>132</v>
      </c>
      <c r="M104" s="12" t="s">
        <v>136</v>
      </c>
    </row>
    <row r="105" spans="1:13" ht="43.2" x14ac:dyDescent="0.3">
      <c r="A105" s="3" t="s">
        <v>25</v>
      </c>
      <c r="B105" s="4" t="s">
        <v>40</v>
      </c>
      <c r="C105" s="18" t="s">
        <v>44</v>
      </c>
      <c r="D105" s="2"/>
      <c r="E105" s="6" t="str">
        <f>E72</f>
        <v>Temenos T24</v>
      </c>
      <c r="F105" t="s">
        <v>57</v>
      </c>
      <c r="G105" t="s">
        <v>57</v>
      </c>
      <c r="H105" s="8" t="s">
        <v>57</v>
      </c>
      <c r="I105" s="12" t="s">
        <v>92</v>
      </c>
      <c r="J105" s="12" t="s">
        <v>117</v>
      </c>
      <c r="K105" s="12" t="s">
        <v>129</v>
      </c>
      <c r="L105" s="12" t="s">
        <v>132</v>
      </c>
      <c r="M105" s="12" t="s">
        <v>135</v>
      </c>
    </row>
    <row r="106" spans="1:13" ht="43.2" x14ac:dyDescent="0.3">
      <c r="A106" s="3"/>
      <c r="B106" s="4" t="s">
        <v>40</v>
      </c>
      <c r="C106" s="18"/>
      <c r="D106" s="2"/>
      <c r="E106" s="6" t="str">
        <f t="shared" ref="E106:E113" si="6">E73</f>
        <v>Salesforce FC</v>
      </c>
      <c r="F106" t="s">
        <v>57</v>
      </c>
      <c r="G106" t="s">
        <v>57</v>
      </c>
      <c r="H106" s="8" t="s">
        <v>57</v>
      </c>
      <c r="I106" s="12" t="s">
        <v>91</v>
      </c>
      <c r="J106" s="12" t="s">
        <v>117</v>
      </c>
      <c r="K106" s="12" t="s">
        <v>129</v>
      </c>
      <c r="L106" s="12" t="s">
        <v>132</v>
      </c>
      <c r="M106" s="12" t="s">
        <v>135</v>
      </c>
    </row>
    <row r="107" spans="1:13" ht="43.2" x14ac:dyDescent="0.3">
      <c r="A107" s="3"/>
      <c r="B107" s="4" t="s">
        <v>40</v>
      </c>
      <c r="C107" s="18"/>
      <c r="D107" s="2"/>
      <c r="E107" s="6" t="str">
        <f t="shared" si="6"/>
        <v>AWS Sagemaker</v>
      </c>
      <c r="F107" t="s">
        <v>57</v>
      </c>
      <c r="G107" t="s">
        <v>57</v>
      </c>
      <c r="H107" s="8" t="s">
        <v>57</v>
      </c>
      <c r="I107" s="12" t="s">
        <v>86</v>
      </c>
      <c r="J107" s="12" t="s">
        <v>117</v>
      </c>
      <c r="K107" s="12" t="s">
        <v>129</v>
      </c>
      <c r="L107" s="12" t="s">
        <v>132</v>
      </c>
      <c r="M107" s="12" t="s">
        <v>135</v>
      </c>
    </row>
    <row r="108" spans="1:13" ht="43.2" x14ac:dyDescent="0.3">
      <c r="A108" s="3"/>
      <c r="B108" s="4" t="s">
        <v>40</v>
      </c>
      <c r="C108" s="18"/>
      <c r="D108" s="2"/>
      <c r="E108" s="6" t="str">
        <f t="shared" si="6"/>
        <v>Snowflake</v>
      </c>
      <c r="F108" t="s">
        <v>57</v>
      </c>
      <c r="G108" t="s">
        <v>57</v>
      </c>
      <c r="H108" s="8" t="s">
        <v>57</v>
      </c>
      <c r="I108" s="12" t="s">
        <v>77</v>
      </c>
      <c r="J108" s="12" t="s">
        <v>117</v>
      </c>
      <c r="K108" s="12" t="s">
        <v>129</v>
      </c>
      <c r="L108" s="12" t="s">
        <v>132</v>
      </c>
      <c r="M108" s="12" t="s">
        <v>135</v>
      </c>
    </row>
    <row r="109" spans="1:13" ht="43.2" x14ac:dyDescent="0.3">
      <c r="A109" s="3"/>
      <c r="B109" s="4" t="s">
        <v>40</v>
      </c>
      <c r="C109" s="18"/>
      <c r="D109" s="2"/>
      <c r="E109" s="6" t="str">
        <f t="shared" si="6"/>
        <v>Microsoft Power BI</v>
      </c>
      <c r="F109" t="s">
        <v>57</v>
      </c>
      <c r="G109" t="s">
        <v>57</v>
      </c>
      <c r="H109" s="8" t="s">
        <v>57</v>
      </c>
      <c r="I109" s="12" t="s">
        <v>77</v>
      </c>
      <c r="J109" s="12" t="s">
        <v>117</v>
      </c>
      <c r="K109" s="12" t="s">
        <v>129</v>
      </c>
      <c r="L109" s="12" t="s">
        <v>132</v>
      </c>
      <c r="M109" s="12" t="s">
        <v>135</v>
      </c>
    </row>
    <row r="110" spans="1:13" ht="43.2" x14ac:dyDescent="0.3">
      <c r="A110" s="3"/>
      <c r="B110" s="4" t="s">
        <v>40</v>
      </c>
      <c r="C110" s="18"/>
      <c r="D110" s="2"/>
      <c r="E110" s="6" t="str">
        <f t="shared" si="6"/>
        <v>GitLab CI/CD</v>
      </c>
      <c r="F110" t="s">
        <v>57</v>
      </c>
      <c r="G110" t="s">
        <v>57</v>
      </c>
      <c r="H110" s="8" t="s">
        <v>57</v>
      </c>
      <c r="I110" s="12" t="s">
        <v>77</v>
      </c>
      <c r="J110" s="12" t="s">
        <v>117</v>
      </c>
      <c r="K110" s="12" t="s">
        <v>129</v>
      </c>
      <c r="L110" s="12" t="s">
        <v>132</v>
      </c>
      <c r="M110" s="12" t="s">
        <v>135</v>
      </c>
    </row>
    <row r="111" spans="1:13" ht="43.2" x14ac:dyDescent="0.3">
      <c r="A111" s="3"/>
      <c r="B111" s="4" t="s">
        <v>40</v>
      </c>
      <c r="C111" s="18"/>
      <c r="D111" s="2"/>
      <c r="E111" s="6" t="str">
        <f t="shared" si="6"/>
        <v>Terraform</v>
      </c>
      <c r="F111" t="s">
        <v>57</v>
      </c>
      <c r="G111" t="s">
        <v>57</v>
      </c>
      <c r="H111" s="8" t="s">
        <v>57</v>
      </c>
      <c r="I111" s="12" t="s">
        <v>77</v>
      </c>
      <c r="J111" s="12" t="s">
        <v>117</v>
      </c>
      <c r="K111" s="12" t="s">
        <v>129</v>
      </c>
      <c r="L111" s="12" t="s">
        <v>132</v>
      </c>
      <c r="M111" s="12" t="s">
        <v>135</v>
      </c>
    </row>
    <row r="112" spans="1:13" ht="43.2" x14ac:dyDescent="0.3">
      <c r="A112" s="3"/>
      <c r="B112" s="4" t="s">
        <v>40</v>
      </c>
      <c r="C112" s="18"/>
      <c r="D112" s="2"/>
      <c r="E112" s="6" t="str">
        <f t="shared" si="6"/>
        <v>Kubernetes</v>
      </c>
      <c r="F112" t="s">
        <v>57</v>
      </c>
      <c r="G112" t="s">
        <v>57</v>
      </c>
      <c r="H112" s="8" t="s">
        <v>57</v>
      </c>
      <c r="I112" s="12" t="s">
        <v>77</v>
      </c>
      <c r="J112" s="12" t="s">
        <v>117</v>
      </c>
      <c r="K112" s="12" t="s">
        <v>129</v>
      </c>
      <c r="L112" s="12" t="s">
        <v>132</v>
      </c>
      <c r="M112" s="12" t="s">
        <v>135</v>
      </c>
    </row>
    <row r="113" spans="1:13" ht="43.2" x14ac:dyDescent="0.3">
      <c r="A113" s="3"/>
      <c r="B113" s="4" t="s">
        <v>40</v>
      </c>
      <c r="C113" s="19"/>
      <c r="D113" s="2"/>
      <c r="E113" s="6" t="str">
        <f t="shared" si="6"/>
        <v>ServiceNow</v>
      </c>
      <c r="F113" t="s">
        <v>57</v>
      </c>
      <c r="G113" t="s">
        <v>57</v>
      </c>
      <c r="H113" s="8" t="s">
        <v>57</v>
      </c>
      <c r="I113" s="12" t="s">
        <v>77</v>
      </c>
      <c r="J113" s="12" t="s">
        <v>117</v>
      </c>
      <c r="K113" s="12" t="s">
        <v>129</v>
      </c>
      <c r="L113" s="12" t="s">
        <v>132</v>
      </c>
      <c r="M113" s="12" t="s">
        <v>135</v>
      </c>
    </row>
    <row r="114" spans="1:13" ht="43.2" x14ac:dyDescent="0.3">
      <c r="A114" s="3" t="s">
        <v>26</v>
      </c>
      <c r="B114" s="4" t="s">
        <v>41</v>
      </c>
      <c r="C114" s="18" t="s">
        <v>44</v>
      </c>
      <c r="D114" s="2"/>
      <c r="E114" s="6" t="str">
        <f>E72</f>
        <v>Temenos T24</v>
      </c>
      <c r="F114" t="s">
        <v>58</v>
      </c>
      <c r="G114" t="s">
        <v>57</v>
      </c>
      <c r="H114" s="8" t="s">
        <v>57</v>
      </c>
      <c r="I114" s="12" t="s">
        <v>84</v>
      </c>
      <c r="J114" s="12" t="s">
        <v>118</v>
      </c>
      <c r="K114" s="12" t="s">
        <v>129</v>
      </c>
      <c r="L114" s="12" t="s">
        <v>132</v>
      </c>
      <c r="M114" s="12" t="s">
        <v>135</v>
      </c>
    </row>
    <row r="115" spans="1:13" ht="43.2" x14ac:dyDescent="0.3">
      <c r="A115" s="3"/>
      <c r="B115" s="4" t="s">
        <v>41</v>
      </c>
      <c r="C115" s="18"/>
      <c r="D115" s="2"/>
      <c r="E115" s="6" t="str">
        <f t="shared" ref="E115:E117" si="7">E73</f>
        <v>Salesforce FC</v>
      </c>
      <c r="F115" t="s">
        <v>58</v>
      </c>
      <c r="G115" t="s">
        <v>57</v>
      </c>
      <c r="H115" s="8" t="s">
        <v>57</v>
      </c>
      <c r="I115" s="12" t="s">
        <v>78</v>
      </c>
      <c r="J115" s="12" t="s">
        <v>118</v>
      </c>
      <c r="K115" s="12" t="s">
        <v>129</v>
      </c>
      <c r="L115" s="12" t="s">
        <v>132</v>
      </c>
      <c r="M115" s="12" t="s">
        <v>135</v>
      </c>
    </row>
    <row r="116" spans="1:13" ht="43.2" x14ac:dyDescent="0.3">
      <c r="A116" s="3"/>
      <c r="B116" s="4" t="s">
        <v>41</v>
      </c>
      <c r="C116" s="18"/>
      <c r="D116" s="2"/>
      <c r="E116" s="6" t="str">
        <f t="shared" si="7"/>
        <v>AWS Sagemaker</v>
      </c>
      <c r="F116" t="s">
        <v>58</v>
      </c>
      <c r="G116" t="s">
        <v>57</v>
      </c>
      <c r="H116" s="8" t="s">
        <v>57</v>
      </c>
      <c r="I116" s="12" t="s">
        <v>85</v>
      </c>
      <c r="J116" s="12" t="s">
        <v>118</v>
      </c>
      <c r="K116" s="12" t="s">
        <v>129</v>
      </c>
      <c r="L116" s="12" t="s">
        <v>132</v>
      </c>
      <c r="M116" s="12" t="s">
        <v>135</v>
      </c>
    </row>
    <row r="117" spans="1:13" ht="43.2" x14ac:dyDescent="0.3">
      <c r="A117" s="3"/>
      <c r="B117" s="4" t="s">
        <v>41</v>
      </c>
      <c r="C117" s="18"/>
      <c r="D117" s="2"/>
      <c r="E117" s="6" t="str">
        <f t="shared" si="7"/>
        <v>Snowflake</v>
      </c>
      <c r="F117" t="s">
        <v>58</v>
      </c>
      <c r="G117" t="s">
        <v>57</v>
      </c>
      <c r="H117" s="8" t="s">
        <v>57</v>
      </c>
      <c r="I117" s="12" t="s">
        <v>78</v>
      </c>
      <c r="J117" s="12" t="s">
        <v>118</v>
      </c>
      <c r="K117" s="12" t="s">
        <v>129</v>
      </c>
      <c r="L117" s="12" t="s">
        <v>132</v>
      </c>
      <c r="M117" s="12" t="s">
        <v>135</v>
      </c>
    </row>
    <row r="118" spans="1:13" ht="43.2" x14ac:dyDescent="0.3">
      <c r="A118" s="3"/>
      <c r="B118" s="4" t="s">
        <v>41</v>
      </c>
      <c r="C118" s="18"/>
      <c r="D118" s="2"/>
      <c r="E118" s="6" t="s">
        <v>53</v>
      </c>
      <c r="F118" t="s">
        <v>58</v>
      </c>
      <c r="G118" t="s">
        <v>57</v>
      </c>
      <c r="H118" s="8" t="s">
        <v>57</v>
      </c>
      <c r="I118" s="12" t="s">
        <v>78</v>
      </c>
      <c r="J118" s="12" t="s">
        <v>118</v>
      </c>
      <c r="K118" s="12" t="s">
        <v>129</v>
      </c>
      <c r="L118" s="12" t="s">
        <v>132</v>
      </c>
      <c r="M118" s="12" t="s">
        <v>135</v>
      </c>
    </row>
    <row r="119" spans="1:13" ht="43.2" x14ac:dyDescent="0.3">
      <c r="A119" s="3"/>
      <c r="B119" s="4" t="s">
        <v>41</v>
      </c>
      <c r="C119" s="18"/>
      <c r="D119" s="2"/>
      <c r="E119" s="6" t="s">
        <v>55</v>
      </c>
      <c r="F119" t="s">
        <v>58</v>
      </c>
      <c r="G119" t="s">
        <v>57</v>
      </c>
      <c r="H119" s="8" t="s">
        <v>57</v>
      </c>
      <c r="I119" s="12" t="s">
        <v>78</v>
      </c>
      <c r="J119" s="12" t="s">
        <v>118</v>
      </c>
      <c r="K119" s="12" t="s">
        <v>129</v>
      </c>
      <c r="L119" s="12" t="s">
        <v>132</v>
      </c>
      <c r="M119" s="12" t="s">
        <v>135</v>
      </c>
    </row>
    <row r="120" spans="1:13" ht="43.2" x14ac:dyDescent="0.3">
      <c r="A120" s="3"/>
      <c r="B120" s="4" t="s">
        <v>41</v>
      </c>
      <c r="C120" s="19"/>
      <c r="D120" s="2"/>
      <c r="E120" s="6" t="s">
        <v>56</v>
      </c>
      <c r="F120" t="s">
        <v>58</v>
      </c>
      <c r="G120" t="s">
        <v>57</v>
      </c>
      <c r="H120" s="8" t="s">
        <v>57</v>
      </c>
      <c r="I120" s="12" t="s">
        <v>78</v>
      </c>
      <c r="J120" s="12" t="s">
        <v>118</v>
      </c>
      <c r="K120" s="12" t="s">
        <v>129</v>
      </c>
      <c r="L120" s="12" t="s">
        <v>132</v>
      </c>
      <c r="M120" s="12" t="s">
        <v>135</v>
      </c>
    </row>
    <row r="121" spans="1:13" ht="28.8" x14ac:dyDescent="0.3">
      <c r="A121" s="3" t="s">
        <v>27</v>
      </c>
      <c r="B121" s="4" t="s">
        <v>42</v>
      </c>
      <c r="C121" s="15" t="s">
        <v>43</v>
      </c>
      <c r="D121" s="2"/>
      <c r="E121" s="6" t="str">
        <f t="shared" ref="E121:E129" si="8">E72</f>
        <v>Temenos T24</v>
      </c>
      <c r="F121" t="s">
        <v>59</v>
      </c>
      <c r="G121" t="s">
        <v>58</v>
      </c>
      <c r="H121" s="9" t="s">
        <v>58</v>
      </c>
      <c r="I121" s="12" t="s">
        <v>83</v>
      </c>
      <c r="J121" s="12" t="s">
        <v>119</v>
      </c>
      <c r="K121" s="12" t="s">
        <v>131</v>
      </c>
      <c r="L121" s="12" t="s">
        <v>132</v>
      </c>
      <c r="M121" s="12" t="s">
        <v>136</v>
      </c>
    </row>
    <row r="122" spans="1:13" ht="28.8" x14ac:dyDescent="0.3">
      <c r="B122" s="4" t="s">
        <v>42</v>
      </c>
      <c r="C122" s="16"/>
      <c r="D122" s="2"/>
      <c r="E122" s="6" t="str">
        <f t="shared" si="8"/>
        <v>Salesforce FC</v>
      </c>
      <c r="F122" t="s">
        <v>59</v>
      </c>
      <c r="G122" t="s">
        <v>58</v>
      </c>
      <c r="H122" s="9" t="s">
        <v>58</v>
      </c>
      <c r="I122" s="12" t="s">
        <v>79</v>
      </c>
      <c r="J122" s="12" t="s">
        <v>120</v>
      </c>
      <c r="K122" s="12" t="s">
        <v>131</v>
      </c>
      <c r="L122" s="12" t="s">
        <v>132</v>
      </c>
      <c r="M122" s="12" t="s">
        <v>136</v>
      </c>
    </row>
    <row r="123" spans="1:13" ht="28.8" x14ac:dyDescent="0.3">
      <c r="B123" s="4" t="s">
        <v>42</v>
      </c>
      <c r="C123" s="16"/>
      <c r="D123" s="2"/>
      <c r="E123" s="6" t="str">
        <f t="shared" si="8"/>
        <v>AWS Sagemaker</v>
      </c>
      <c r="F123" t="s">
        <v>59</v>
      </c>
      <c r="G123" t="s">
        <v>58</v>
      </c>
      <c r="H123" s="9" t="s">
        <v>58</v>
      </c>
      <c r="I123" s="12" t="s">
        <v>71</v>
      </c>
      <c r="J123" s="12" t="s">
        <v>120</v>
      </c>
      <c r="K123" s="12" t="s">
        <v>131</v>
      </c>
      <c r="L123" s="12" t="s">
        <v>132</v>
      </c>
      <c r="M123" s="12" t="s">
        <v>136</v>
      </c>
    </row>
    <row r="124" spans="1:13" ht="28.8" x14ac:dyDescent="0.3">
      <c r="B124" s="4" t="s">
        <v>42</v>
      </c>
      <c r="C124" s="16"/>
      <c r="E124" s="6" t="str">
        <f t="shared" si="8"/>
        <v>Snowflake</v>
      </c>
      <c r="F124" t="s">
        <v>59</v>
      </c>
      <c r="G124" t="s">
        <v>58</v>
      </c>
      <c r="H124" s="9" t="s">
        <v>58</v>
      </c>
      <c r="I124" s="12" t="s">
        <v>80</v>
      </c>
      <c r="J124" s="12" t="s">
        <v>120</v>
      </c>
      <c r="K124" s="12" t="s">
        <v>131</v>
      </c>
      <c r="L124" s="12" t="s">
        <v>132</v>
      </c>
      <c r="M124" s="12" t="s">
        <v>136</v>
      </c>
    </row>
    <row r="125" spans="1:13" ht="28.8" x14ac:dyDescent="0.3">
      <c r="B125" s="4" t="s">
        <v>42</v>
      </c>
      <c r="C125" s="16"/>
      <c r="E125" s="6" t="str">
        <f t="shared" si="8"/>
        <v>Microsoft Power BI</v>
      </c>
      <c r="F125" t="s">
        <v>59</v>
      </c>
      <c r="G125" t="s">
        <v>58</v>
      </c>
      <c r="H125" s="9" t="s">
        <v>58</v>
      </c>
      <c r="I125" s="12" t="s">
        <v>71</v>
      </c>
      <c r="J125" s="12" t="s">
        <v>119</v>
      </c>
      <c r="K125" s="12" t="s">
        <v>131</v>
      </c>
      <c r="L125" s="12" t="s">
        <v>132</v>
      </c>
      <c r="M125" s="12" t="s">
        <v>136</v>
      </c>
    </row>
    <row r="126" spans="1:13" ht="28.8" x14ac:dyDescent="0.3">
      <c r="B126" s="4" t="s">
        <v>42</v>
      </c>
      <c r="C126" s="16"/>
      <c r="E126" s="6" t="str">
        <f t="shared" si="8"/>
        <v>GitLab CI/CD</v>
      </c>
      <c r="F126" t="s">
        <v>59</v>
      </c>
      <c r="G126" t="s">
        <v>58</v>
      </c>
      <c r="H126" s="9" t="s">
        <v>58</v>
      </c>
      <c r="I126" s="12" t="s">
        <v>71</v>
      </c>
      <c r="J126" s="12" t="s">
        <v>119</v>
      </c>
      <c r="K126" s="12" t="s">
        <v>131</v>
      </c>
      <c r="L126" s="12" t="s">
        <v>132</v>
      </c>
      <c r="M126" s="12" t="s">
        <v>136</v>
      </c>
    </row>
    <row r="127" spans="1:13" ht="28.8" x14ac:dyDescent="0.3">
      <c r="B127" s="4" t="s">
        <v>42</v>
      </c>
      <c r="C127" s="16"/>
      <c r="E127" s="6" t="str">
        <f t="shared" si="8"/>
        <v>Terraform</v>
      </c>
      <c r="F127" t="s">
        <v>59</v>
      </c>
      <c r="G127" t="s">
        <v>58</v>
      </c>
      <c r="H127" s="9" t="s">
        <v>58</v>
      </c>
      <c r="I127" s="12" t="s">
        <v>81</v>
      </c>
      <c r="J127" s="12" t="s">
        <v>119</v>
      </c>
      <c r="K127" s="12" t="s">
        <v>131</v>
      </c>
      <c r="L127" s="12" t="s">
        <v>132</v>
      </c>
      <c r="M127" s="12" t="s">
        <v>136</v>
      </c>
    </row>
    <row r="128" spans="1:13" ht="28.8" x14ac:dyDescent="0.3">
      <c r="B128" s="4" t="s">
        <v>42</v>
      </c>
      <c r="C128" s="16"/>
      <c r="E128" s="6" t="str">
        <f t="shared" si="8"/>
        <v>Kubernetes</v>
      </c>
      <c r="F128" t="s">
        <v>59</v>
      </c>
      <c r="G128" t="s">
        <v>58</v>
      </c>
      <c r="H128" s="9" t="s">
        <v>58</v>
      </c>
      <c r="I128" s="12" t="s">
        <v>71</v>
      </c>
      <c r="J128" s="12" t="s">
        <v>119</v>
      </c>
      <c r="K128" s="12" t="s">
        <v>131</v>
      </c>
      <c r="L128" s="12" t="s">
        <v>132</v>
      </c>
      <c r="M128" s="12" t="s">
        <v>136</v>
      </c>
    </row>
    <row r="129" spans="1:13" ht="28.8" x14ac:dyDescent="0.3">
      <c r="B129" s="4" t="s">
        <v>42</v>
      </c>
      <c r="C129" s="17"/>
      <c r="E129" s="6" t="str">
        <f t="shared" si="8"/>
        <v>ServiceNow</v>
      </c>
      <c r="F129" t="s">
        <v>59</v>
      </c>
      <c r="G129" t="s">
        <v>58</v>
      </c>
      <c r="H129" s="9" t="s">
        <v>58</v>
      </c>
      <c r="I129" s="12" t="s">
        <v>82</v>
      </c>
      <c r="J129" s="12" t="s">
        <v>119</v>
      </c>
      <c r="K129" s="12" t="s">
        <v>131</v>
      </c>
      <c r="L129" s="12" t="s">
        <v>132</v>
      </c>
      <c r="M129" s="12" t="s">
        <v>136</v>
      </c>
    </row>
    <row r="130" spans="1:13" ht="43.2" x14ac:dyDescent="0.3">
      <c r="A130" t="s">
        <v>28</v>
      </c>
      <c r="B130" s="4" t="s">
        <v>95</v>
      </c>
      <c r="C130" s="15" t="s">
        <v>43</v>
      </c>
      <c r="E130" s="6" t="str">
        <f>E121</f>
        <v>Temenos T24</v>
      </c>
      <c r="F130" t="s">
        <v>59</v>
      </c>
      <c r="G130" t="s">
        <v>57</v>
      </c>
      <c r="H130" s="9" t="s">
        <v>58</v>
      </c>
      <c r="I130" s="12" t="s">
        <v>99</v>
      </c>
      <c r="J130" s="12" t="s">
        <v>121</v>
      </c>
      <c r="K130" s="12" t="s">
        <v>131</v>
      </c>
      <c r="L130" s="12" t="s">
        <v>131</v>
      </c>
      <c r="M130" s="12" t="s">
        <v>139</v>
      </c>
    </row>
    <row r="131" spans="1:13" ht="43.2" x14ac:dyDescent="0.3">
      <c r="B131" s="4" t="s">
        <v>95</v>
      </c>
      <c r="C131" s="16"/>
      <c r="E131" s="6" t="str">
        <f t="shared" ref="E131:E133" si="9">E122</f>
        <v>Salesforce FC</v>
      </c>
      <c r="F131" t="s">
        <v>59</v>
      </c>
      <c r="G131" t="s">
        <v>57</v>
      </c>
      <c r="H131" s="9" t="s">
        <v>58</v>
      </c>
      <c r="I131" s="12" t="s">
        <v>99</v>
      </c>
      <c r="J131" s="12" t="s">
        <v>121</v>
      </c>
      <c r="K131" s="12" t="s">
        <v>131</v>
      </c>
      <c r="L131" s="12" t="s">
        <v>131</v>
      </c>
      <c r="M131" s="12" t="s">
        <v>139</v>
      </c>
    </row>
    <row r="132" spans="1:13" ht="43.2" x14ac:dyDescent="0.3">
      <c r="B132" s="4" t="s">
        <v>95</v>
      </c>
      <c r="C132" s="16"/>
      <c r="E132" s="6" t="str">
        <f t="shared" si="9"/>
        <v>AWS Sagemaker</v>
      </c>
      <c r="F132" t="s">
        <v>59</v>
      </c>
      <c r="G132" t="s">
        <v>57</v>
      </c>
      <c r="H132" s="9" t="s">
        <v>58</v>
      </c>
      <c r="I132" s="12" t="s">
        <v>99</v>
      </c>
      <c r="J132" s="12" t="s">
        <v>121</v>
      </c>
      <c r="K132" s="12" t="s">
        <v>131</v>
      </c>
      <c r="L132" s="12" t="s">
        <v>131</v>
      </c>
      <c r="M132" s="12" t="s">
        <v>139</v>
      </c>
    </row>
    <row r="133" spans="1:13" ht="43.2" x14ac:dyDescent="0.3">
      <c r="B133" s="4" t="s">
        <v>95</v>
      </c>
      <c r="C133" s="16"/>
      <c r="E133" s="6" t="str">
        <f t="shared" si="9"/>
        <v>Snowflake</v>
      </c>
      <c r="F133" t="s">
        <v>59</v>
      </c>
      <c r="G133" t="s">
        <v>57</v>
      </c>
      <c r="H133" s="9" t="s">
        <v>58</v>
      </c>
      <c r="I133" s="12" t="s">
        <v>99</v>
      </c>
      <c r="J133" s="12" t="s">
        <v>121</v>
      </c>
      <c r="K133" s="12" t="s">
        <v>131</v>
      </c>
      <c r="L133" s="12" t="s">
        <v>131</v>
      </c>
      <c r="M133" s="12" t="s">
        <v>139</v>
      </c>
    </row>
    <row r="134" spans="1:13" ht="43.2" x14ac:dyDescent="0.3">
      <c r="B134" s="4" t="s">
        <v>95</v>
      </c>
      <c r="C134" s="16"/>
      <c r="E134" s="6" t="str">
        <f>E128</f>
        <v>Kubernetes</v>
      </c>
      <c r="F134" t="s">
        <v>59</v>
      </c>
      <c r="G134" t="s">
        <v>57</v>
      </c>
      <c r="H134" s="9" t="s">
        <v>58</v>
      </c>
      <c r="I134" s="12" t="s">
        <v>99</v>
      </c>
      <c r="J134" s="12" t="s">
        <v>121</v>
      </c>
      <c r="K134" s="12" t="s">
        <v>131</v>
      </c>
      <c r="L134" s="12" t="s">
        <v>131</v>
      </c>
      <c r="M134" s="12" t="s">
        <v>139</v>
      </c>
    </row>
    <row r="135" spans="1:13" ht="43.2" x14ac:dyDescent="0.3">
      <c r="B135" s="4" t="s">
        <v>95</v>
      </c>
      <c r="C135" s="17"/>
      <c r="E135" s="6" t="s">
        <v>56</v>
      </c>
      <c r="F135" t="s">
        <v>59</v>
      </c>
      <c r="G135" t="s">
        <v>57</v>
      </c>
      <c r="H135" s="9" t="s">
        <v>58</v>
      </c>
      <c r="I135" s="12" t="s">
        <v>99</v>
      </c>
      <c r="J135" s="12" t="s">
        <v>121</v>
      </c>
      <c r="K135" s="12" t="s">
        <v>131</v>
      </c>
      <c r="L135" s="12" t="s">
        <v>131</v>
      </c>
      <c r="M135" s="12" t="s">
        <v>139</v>
      </c>
    </row>
    <row r="136" spans="1:13" ht="28.8" x14ac:dyDescent="0.3">
      <c r="A136" t="s">
        <v>93</v>
      </c>
      <c r="B136" s="4" t="s">
        <v>96</v>
      </c>
      <c r="C136" s="16" t="s">
        <v>43</v>
      </c>
      <c r="E136" s="6" t="str">
        <f>E130</f>
        <v>Temenos T24</v>
      </c>
      <c r="F136" t="s">
        <v>58</v>
      </c>
      <c r="G136" t="s">
        <v>57</v>
      </c>
      <c r="H136" s="8" t="s">
        <v>57</v>
      </c>
      <c r="I136" s="12" t="s">
        <v>122</v>
      </c>
      <c r="J136" s="12" t="s">
        <v>127</v>
      </c>
      <c r="K136" s="12" t="s">
        <v>129</v>
      </c>
      <c r="L136" s="12" t="s">
        <v>132</v>
      </c>
      <c r="M136" s="12" t="s">
        <v>136</v>
      </c>
    </row>
    <row r="137" spans="1:13" ht="28.8" x14ac:dyDescent="0.3">
      <c r="B137" s="4" t="s">
        <v>96</v>
      </c>
      <c r="C137" s="16"/>
      <c r="E137" s="6" t="str">
        <f>E131</f>
        <v>Salesforce FC</v>
      </c>
      <c r="F137" t="s">
        <v>58</v>
      </c>
      <c r="G137" t="s">
        <v>57</v>
      </c>
      <c r="H137" s="8" t="s">
        <v>57</v>
      </c>
      <c r="I137" s="12" t="s">
        <v>122</v>
      </c>
      <c r="J137" s="12" t="s">
        <v>127</v>
      </c>
      <c r="K137" s="12" t="s">
        <v>129</v>
      </c>
      <c r="L137" s="12" t="s">
        <v>132</v>
      </c>
      <c r="M137" s="12" t="s">
        <v>136</v>
      </c>
    </row>
    <row r="138" spans="1:13" ht="28.8" x14ac:dyDescent="0.3">
      <c r="B138" s="4" t="s">
        <v>96</v>
      </c>
      <c r="C138" s="16"/>
      <c r="E138" s="6" t="str">
        <f>E132</f>
        <v>AWS Sagemaker</v>
      </c>
      <c r="F138" t="s">
        <v>58</v>
      </c>
      <c r="G138" t="s">
        <v>57</v>
      </c>
      <c r="H138" s="8" t="s">
        <v>57</v>
      </c>
      <c r="I138" s="12" t="s">
        <v>123</v>
      </c>
      <c r="J138" s="12" t="s">
        <v>127</v>
      </c>
      <c r="K138" s="12" t="s">
        <v>129</v>
      </c>
      <c r="L138" s="12" t="s">
        <v>132</v>
      </c>
      <c r="M138" s="12" t="s">
        <v>136</v>
      </c>
    </row>
    <row r="139" spans="1:13" ht="28.8" x14ac:dyDescent="0.3">
      <c r="B139" s="4" t="s">
        <v>96</v>
      </c>
      <c r="C139" s="16"/>
      <c r="E139" s="6" t="str">
        <f>E133</f>
        <v>Snowflake</v>
      </c>
      <c r="F139" t="s">
        <v>58</v>
      </c>
      <c r="G139" t="s">
        <v>57</v>
      </c>
      <c r="H139" s="8" t="s">
        <v>57</v>
      </c>
      <c r="I139" s="12" t="s">
        <v>124</v>
      </c>
      <c r="J139" s="12" t="s">
        <v>127</v>
      </c>
      <c r="K139" s="12" t="s">
        <v>129</v>
      </c>
      <c r="L139" s="12" t="s">
        <v>132</v>
      </c>
      <c r="M139" s="12" t="s">
        <v>136</v>
      </c>
    </row>
    <row r="140" spans="1:13" ht="28.8" x14ac:dyDescent="0.3">
      <c r="B140" s="4" t="s">
        <v>96</v>
      </c>
      <c r="C140" s="16"/>
      <c r="E140" s="6" t="s">
        <v>53</v>
      </c>
      <c r="F140" t="s">
        <v>58</v>
      </c>
      <c r="G140" t="s">
        <v>57</v>
      </c>
      <c r="H140" s="8" t="s">
        <v>57</v>
      </c>
      <c r="I140" s="12" t="s">
        <v>125</v>
      </c>
      <c r="J140" s="12" t="s">
        <v>127</v>
      </c>
      <c r="K140" s="12" t="s">
        <v>129</v>
      </c>
      <c r="L140" s="12" t="s">
        <v>132</v>
      </c>
      <c r="M140" s="12" t="s">
        <v>136</v>
      </c>
    </row>
    <row r="141" spans="1:13" ht="28.8" x14ac:dyDescent="0.3">
      <c r="B141" s="4" t="s">
        <v>96</v>
      </c>
      <c r="C141" s="16"/>
      <c r="E141" s="6" t="str">
        <f t="shared" ref="E141:E142" si="10">E134</f>
        <v>Kubernetes</v>
      </c>
      <c r="F141" t="s">
        <v>58</v>
      </c>
      <c r="G141" t="s">
        <v>57</v>
      </c>
      <c r="H141" s="8" t="s">
        <v>57</v>
      </c>
      <c r="I141" s="12" t="s">
        <v>125</v>
      </c>
      <c r="J141" s="12" t="s">
        <v>127</v>
      </c>
      <c r="K141" s="12" t="s">
        <v>129</v>
      </c>
      <c r="L141" s="12" t="s">
        <v>132</v>
      </c>
      <c r="M141" s="12" t="s">
        <v>136</v>
      </c>
    </row>
    <row r="142" spans="1:13" ht="28.8" x14ac:dyDescent="0.3">
      <c r="B142" s="4" t="s">
        <v>96</v>
      </c>
      <c r="C142" s="17"/>
      <c r="E142" s="6" t="str">
        <f t="shared" si="10"/>
        <v>ServiceNow</v>
      </c>
      <c r="F142" t="s">
        <v>58</v>
      </c>
      <c r="G142" t="s">
        <v>57</v>
      </c>
      <c r="H142" s="8" t="s">
        <v>57</v>
      </c>
      <c r="I142" s="12" t="s">
        <v>126</v>
      </c>
      <c r="J142" s="12" t="s">
        <v>127</v>
      </c>
      <c r="K142" s="12" t="s">
        <v>129</v>
      </c>
      <c r="L142" s="12" t="s">
        <v>132</v>
      </c>
      <c r="M142" s="12" t="s">
        <v>136</v>
      </c>
    </row>
    <row r="143" spans="1:13" x14ac:dyDescent="0.3">
      <c r="A143" t="s">
        <v>94</v>
      </c>
      <c r="B143" s="4" t="s">
        <v>97</v>
      </c>
      <c r="C143" s="18" t="s">
        <v>44</v>
      </c>
      <c r="E143" s="6" t="s">
        <v>48</v>
      </c>
      <c r="F143" t="s">
        <v>58</v>
      </c>
      <c r="G143" t="s">
        <v>57</v>
      </c>
      <c r="H143" s="8" t="s">
        <v>57</v>
      </c>
      <c r="I143" s="12" t="s">
        <v>98</v>
      </c>
      <c r="J143" s="12" t="s">
        <v>128</v>
      </c>
      <c r="K143" s="12" t="s">
        <v>129</v>
      </c>
      <c r="L143" s="12" t="s">
        <v>133</v>
      </c>
      <c r="M143" s="12" t="s">
        <v>140</v>
      </c>
    </row>
    <row r="144" spans="1:13" x14ac:dyDescent="0.3">
      <c r="B144" s="4" t="s">
        <v>97</v>
      </c>
      <c r="C144" s="19"/>
      <c r="E144" s="6" t="s">
        <v>47</v>
      </c>
      <c r="F144" t="s">
        <v>58</v>
      </c>
      <c r="G144" t="s">
        <v>57</v>
      </c>
      <c r="H144" s="8" t="s">
        <v>57</v>
      </c>
      <c r="I144" s="12" t="s">
        <v>98</v>
      </c>
      <c r="J144" s="12" t="s">
        <v>128</v>
      </c>
      <c r="K144" s="12" t="s">
        <v>129</v>
      </c>
      <c r="L144" s="12" t="s">
        <v>133</v>
      </c>
      <c r="M144" s="12" t="s">
        <v>140</v>
      </c>
    </row>
  </sheetData>
  <mergeCells count="19">
    <mergeCell ref="C36:C44"/>
    <mergeCell ref="C2:C10"/>
    <mergeCell ref="C11:C15"/>
    <mergeCell ref="C16:C20"/>
    <mergeCell ref="C21:C26"/>
    <mergeCell ref="C27:C35"/>
    <mergeCell ref="C130:C135"/>
    <mergeCell ref="C136:C142"/>
    <mergeCell ref="C143:C144"/>
    <mergeCell ref="C121:C129"/>
    <mergeCell ref="C45:C53"/>
    <mergeCell ref="C54:C62"/>
    <mergeCell ref="C63:C71"/>
    <mergeCell ref="C72:C80"/>
    <mergeCell ref="C81:C86"/>
    <mergeCell ref="C87:C95"/>
    <mergeCell ref="C96:C104"/>
    <mergeCell ref="C105:C113"/>
    <mergeCell ref="C114:C120"/>
  </mergeCells>
  <phoneticPr fontId="2" type="noConversion"/>
  <pageMargins left="0.7" right="0.7" top="0.75" bottom="0.75" header="0.3" footer="0.3"/>
  <ignoredErrors>
    <ignoredError sqref="M83"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Sanchaita Baidya</dc:creator>
  <cp:lastModifiedBy>Sanchaita Baidya</cp:lastModifiedBy>
  <dcterms:created xsi:type="dcterms:W3CDTF">2026-02-06T15:54:04Z</dcterms:created>
  <dcterms:modified xsi:type="dcterms:W3CDTF">2026-03-06T14:16:11Z</dcterms:modified>
</cp:coreProperties>
</file>